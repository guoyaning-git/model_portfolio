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80" yWindow="5040" windowWidth="28800" windowHeight="14070" tabRatio="600" firstSheet="0" activeTab="0" autoFilterDateGrouping="1"/>
  </bookViews>
  <sheets>
    <sheet xmlns:r="http://schemas.openxmlformats.org/officeDocument/2006/relationships" name="参数输入" sheetId="1" state="visible" r:id="rId1"/>
    <sheet xmlns:r="http://schemas.openxmlformats.org/officeDocument/2006/relationships" name="成本计算" sheetId="2" state="visible" r:id="rId2"/>
    <sheet xmlns:r="http://schemas.openxmlformats.org/officeDocument/2006/relationships" name="策略对比" sheetId="3" state="visible" r:id="rId3"/>
    <sheet xmlns:r="http://schemas.openxmlformats.org/officeDocument/2006/relationships" name="敏感度分析" sheetId="4" state="visible" r:id="rId4"/>
    <sheet xmlns:r="http://schemas.openxmlformats.org/officeDocument/2006/relationships" name="策略说明" sheetId="5" state="visible" r:id="rId5"/>
    <sheet xmlns:r="http://schemas.openxmlformats.org/officeDocument/2006/relationships" name="注意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rgb="FF0F1115"/>
      <sz val="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selection activeCell="L21" sqref="L21"/>
    </sheetView>
  </sheetViews>
  <sheetFormatPr baseColWidth="8" defaultRowHeight="14"/>
  <cols>
    <col width="11.4140625" customWidth="1" style="3" min="1" max="1"/>
  </cols>
  <sheetData>
    <row r="1">
      <c r="A1" s="0" t="inlineStr">
        <is>
          <t>【基础业务参数】</t>
        </is>
      </c>
    </row>
    <row r="2">
      <c r="A2" s="0" t="inlineStr">
        <is>
          <t>参数名称</t>
        </is>
      </c>
      <c r="B2" s="0" t="inlineStr">
        <is>
          <t>参数值</t>
        </is>
      </c>
      <c r="C2" s="0" t="inlineStr">
        <is>
          <t>单位</t>
        </is>
      </c>
      <c r="D2" s="0" t="inlineStr">
        <is>
          <t>备注</t>
        </is>
      </c>
    </row>
    <row r="3">
      <c r="A3" s="0" t="inlineStr">
        <is>
          <t>日均销量</t>
        </is>
      </c>
      <c r="B3" s="0" t="n">
        <v>500</v>
      </c>
      <c r="C3" s="0" t="inlineStr">
        <is>
          <t>件/天</t>
        </is>
      </c>
      <c r="D3" s="0" t="inlineStr">
        <is>
          <t>月均15000件</t>
        </is>
      </c>
    </row>
    <row r="4">
      <c r="A4" s="0" t="inlineStr">
        <is>
          <t>单批次发货量</t>
        </is>
      </c>
      <c r="B4" s="0" t="n">
        <v>2000</v>
      </c>
      <c r="C4" s="0" t="inlineStr">
        <is>
          <t>件/批</t>
        </is>
      </c>
      <c r="D4" s="0" t="inlineStr">
        <is>
          <t>建议2000-5000件</t>
        </is>
      </c>
    </row>
    <row r="5">
      <c r="A5" s="0" t="inlineStr">
        <is>
          <t>月度发货频次</t>
        </is>
      </c>
      <c r="B5" s="0" t="n">
        <v>4</v>
      </c>
      <c r="C5" s="0" t="inlineStr">
        <is>
          <t>次/月</t>
        </is>
      </c>
      <c r="D5" s="0" t="inlineStr">
        <is>
          <t>每周1次</t>
        </is>
      </c>
    </row>
    <row r="7">
      <c r="A7" s="0" t="inlineStr">
        <is>
          <t>【头程物流渠道参数】</t>
        </is>
      </c>
    </row>
    <row r="8">
      <c r="A8" s="0" t="inlineStr">
        <is>
          <t>渠道名称</t>
        </is>
      </c>
      <c r="B8" s="0" t="inlineStr">
        <is>
          <t>运输方式</t>
        </is>
      </c>
      <c r="C8" s="0" t="inlineStr">
        <is>
          <t>单价(元/kg)</t>
        </is>
      </c>
      <c r="D8" s="0" t="inlineStr">
        <is>
          <t>单件重量(kg)</t>
        </is>
      </c>
      <c r="E8" s="0" t="inlineStr">
        <is>
          <t>固定成本(元/票)</t>
        </is>
      </c>
      <c r="F8" s="0" t="inlineStr">
        <is>
          <t>参考时效(天)</t>
        </is>
      </c>
    </row>
    <row r="9">
      <c r="A9" s="0" t="inlineStr">
        <is>
          <t>美西-海运</t>
        </is>
      </c>
      <c r="B9" s="0" t="inlineStr">
        <is>
          <t>海运</t>
        </is>
      </c>
      <c r="C9" s="0" t="n">
        <v>12</v>
      </c>
      <c r="D9" s="0" t="n">
        <v>1.2</v>
      </c>
      <c r="E9" s="0" t="n">
        <v>800</v>
      </c>
      <c r="F9" s="0" t="n">
        <v>30</v>
      </c>
    </row>
    <row r="10">
      <c r="A10" s="0" t="inlineStr">
        <is>
          <t>美西-空运</t>
        </is>
      </c>
      <c r="B10" s="0" t="inlineStr">
        <is>
          <t>空运</t>
        </is>
      </c>
      <c r="C10" s="0" t="n">
        <v>32</v>
      </c>
      <c r="D10" s="0" t="n">
        <v>1.2</v>
      </c>
      <c r="E10" s="0" t="n">
        <v>300</v>
      </c>
      <c r="F10" s="0" t="n">
        <v>7</v>
      </c>
    </row>
    <row r="11">
      <c r="A11" s="0" t="inlineStr">
        <is>
          <t>美西-铁运</t>
        </is>
      </c>
      <c r="B11" s="0" t="inlineStr">
        <is>
          <t>铁运</t>
        </is>
      </c>
      <c r="C11" s="0" t="n">
        <v>18</v>
      </c>
      <c r="D11" s="0" t="n">
        <v>1.2</v>
      </c>
      <c r="E11" s="0" t="n">
        <v>500</v>
      </c>
      <c r="F11" s="0" t="n">
        <v>22</v>
      </c>
    </row>
    <row r="12">
      <c r="A12" s="0" t="inlineStr">
        <is>
          <t>美东-海运</t>
        </is>
      </c>
      <c r="B12" s="0" t="inlineStr">
        <is>
          <t>海运</t>
        </is>
      </c>
      <c r="C12" s="0" t="n">
        <v>14</v>
      </c>
      <c r="D12" s="0" t="n">
        <v>1.2</v>
      </c>
      <c r="E12" s="0" t="n">
        <v>800</v>
      </c>
      <c r="F12" s="0" t="n">
        <v>42</v>
      </c>
    </row>
    <row r="13">
      <c r="A13" s="0" t="inlineStr">
        <is>
          <t>美东-空运</t>
        </is>
      </c>
      <c r="B13" s="0" t="inlineStr">
        <is>
          <t>空运</t>
        </is>
      </c>
      <c r="C13" s="0" t="n">
        <v>35</v>
      </c>
      <c r="D13" s="0" t="n">
        <v>1.2</v>
      </c>
      <c r="E13" s="0" t="n">
        <v>300</v>
      </c>
      <c r="F13" s="0" t="n">
        <v>8</v>
      </c>
    </row>
    <row r="14">
      <c r="A14" s="0" t="inlineStr">
        <is>
          <t>美东-铁运</t>
        </is>
      </c>
      <c r="B14" s="0" t="inlineStr">
        <is>
          <t>铁运</t>
        </is>
      </c>
      <c r="C14" s="0" t="n">
        <v>20</v>
      </c>
      <c r="D14" s="0" t="n">
        <v>1.2</v>
      </c>
      <c r="E14" s="0" t="n">
        <v>500</v>
      </c>
      <c r="F14" s="0" t="n">
        <v>28</v>
      </c>
    </row>
    <row r="15">
      <c r="A15" s="0" t="inlineStr">
        <is>
          <t>欧洲-海运</t>
        </is>
      </c>
      <c r="B15" s="0" t="inlineStr">
        <is>
          <t>海运</t>
        </is>
      </c>
      <c r="C15" s="0" t="n">
        <v>16</v>
      </c>
      <c r="D15" s="0" t="n">
        <v>1.2</v>
      </c>
      <c r="E15" s="0" t="n">
        <v>1000</v>
      </c>
      <c r="F15" s="0" t="n">
        <v>45</v>
      </c>
    </row>
    <row r="16">
      <c r="A16" s="0" t="inlineStr">
        <is>
          <t>欧洲-空运</t>
        </is>
      </c>
      <c r="B16" s="0" t="inlineStr">
        <is>
          <t>空运</t>
        </is>
      </c>
      <c r="C16" s="0" t="n">
        <v>38</v>
      </c>
      <c r="D16" s="0" t="n">
        <v>1.2</v>
      </c>
      <c r="E16" s="0" t="n">
        <v>400</v>
      </c>
      <c r="F16" s="0" t="n">
        <v>7</v>
      </c>
    </row>
    <row r="18">
      <c r="A18" s="0" t="inlineStr">
        <is>
          <t>【尾程物流渠道参数】</t>
        </is>
      </c>
    </row>
    <row r="19">
      <c r="A19" s="0" t="inlineStr">
        <is>
          <t>渠道名称</t>
        </is>
      </c>
      <c r="B19" s="0" t="inlineStr">
        <is>
          <t>服务商</t>
        </is>
      </c>
      <c r="C19" s="0" t="inlineStr">
        <is>
          <t>首重(kg)</t>
        </is>
      </c>
      <c r="D19" s="0" t="inlineStr">
        <is>
          <t>首重价格(元)</t>
        </is>
      </c>
      <c r="E19" s="0" t="inlineStr">
        <is>
          <t>续重单价(元/kg)</t>
        </is>
      </c>
      <c r="F19" s="0" t="inlineStr">
        <is>
          <t>平均时效(天)</t>
        </is>
      </c>
    </row>
    <row r="20">
      <c r="A20" s="0" t="inlineStr">
        <is>
          <t>美西-标准</t>
        </is>
      </c>
      <c r="B20" s="0" t="inlineStr">
        <is>
          <t>USPS</t>
        </is>
      </c>
      <c r="C20" s="0" t="n">
        <v>0.5</v>
      </c>
      <c r="D20" s="0" t="n">
        <v>35</v>
      </c>
      <c r="E20" s="0" t="n">
        <v>8</v>
      </c>
      <c r="F20" s="0" t="n">
        <v>5</v>
      </c>
    </row>
    <row r="21">
      <c r="A21" s="0" t="inlineStr">
        <is>
          <t>美西-经济</t>
        </is>
      </c>
      <c r="B21" s="0" t="inlineStr">
        <is>
          <t>FedEx</t>
        </is>
      </c>
      <c r="C21" s="0" t="n">
        <v>1</v>
      </c>
      <c r="D21" s="0" t="n">
        <v>42</v>
      </c>
      <c r="E21" s="0" t="n">
        <v>6</v>
      </c>
      <c r="F21" s="0" t="n">
        <v>7</v>
      </c>
    </row>
    <row r="22">
      <c r="A22" s="0" t="inlineStr">
        <is>
          <t>美东-标准</t>
        </is>
      </c>
      <c r="B22" s="0" t="inlineStr">
        <is>
          <t>USPS</t>
        </is>
      </c>
      <c r="C22" s="0" t="n">
        <v>0.5</v>
      </c>
      <c r="D22" s="0" t="n">
        <v>38</v>
      </c>
      <c r="E22" s="0" t="n">
        <v>9</v>
      </c>
      <c r="F22" s="0" t="n">
        <v>5</v>
      </c>
    </row>
    <row r="23">
      <c r="A23" s="0" t="inlineStr">
        <is>
          <t>美东-经济</t>
        </is>
      </c>
      <c r="B23" s="0" t="inlineStr">
        <is>
          <t>FedEx</t>
        </is>
      </c>
      <c r="C23" s="0" t="n">
        <v>1</v>
      </c>
      <c r="D23" s="0" t="n">
        <v>45</v>
      </c>
      <c r="E23" s="0" t="n">
        <v>7</v>
      </c>
      <c r="F23" s="0" t="n">
        <v>7</v>
      </c>
    </row>
    <row r="24">
      <c r="A24" s="0" t="inlineStr">
        <is>
          <t>欧洲-标准</t>
        </is>
      </c>
      <c r="B24" s="0" t="inlineStr">
        <is>
          <t>DPD</t>
        </is>
      </c>
      <c r="C24" s="0" t="n">
        <v>0.5</v>
      </c>
      <c r="D24" s="0" t="n">
        <v>40</v>
      </c>
      <c r="E24" s="0" t="n">
        <v>10</v>
      </c>
      <c r="F24" s="0" t="n">
        <v>4</v>
      </c>
    </row>
    <row r="25">
      <c r="A25" s="0" t="inlineStr">
        <is>
          <t>欧洲-经济</t>
        </is>
      </c>
      <c r="B25" s="0" t="inlineStr">
        <is>
          <t>UPS</t>
        </is>
      </c>
      <c r="C25" s="0" t="n">
        <v>1</v>
      </c>
      <c r="D25" s="0" t="n">
        <v>50</v>
      </c>
      <c r="E25" s="0" t="n">
        <v>9</v>
      </c>
      <c r="F25" s="0" t="n">
        <v>6</v>
      </c>
    </row>
    <row r="27">
      <c r="A27" s="0" t="inlineStr">
        <is>
          <t>【成本分摊参数】</t>
        </is>
      </c>
    </row>
    <row r="28">
      <c r="A28" s="0" t="inlineStr">
        <is>
          <t>参数名称</t>
        </is>
      </c>
      <c r="B28" s="0" t="inlineStr">
        <is>
          <t>参数值</t>
        </is>
      </c>
      <c r="C28" s="0" t="inlineStr">
        <is>
          <t>单位</t>
        </is>
      </c>
    </row>
    <row r="29">
      <c r="A29" s="0" t="inlineStr">
        <is>
          <t>仓储费(元/件/月)</t>
        </is>
      </c>
      <c r="B29" s="0" t="n">
        <v>2</v>
      </c>
      <c r="C29" s="0" t="inlineStr">
        <is>
          <t>元</t>
        </is>
      </c>
    </row>
    <row r="30">
      <c r="A30" s="0" t="inlineStr">
        <is>
          <t>操作费(元/件)</t>
        </is>
      </c>
      <c r="B30" s="0" t="n">
        <v>3</v>
      </c>
      <c r="C30" s="0" t="inlineStr">
        <is>
          <t>元</t>
        </is>
      </c>
    </row>
    <row r="31">
      <c r="A31" s="0" t="inlineStr">
        <is>
          <t>管理费(元/件)</t>
        </is>
      </c>
      <c r="B31" s="0" t="n">
        <v>1.5</v>
      </c>
      <c r="C31" s="0" t="inlineStr">
        <is>
          <t>元</t>
        </is>
      </c>
    </row>
    <row r="32">
      <c r="A32" s="0" t="inlineStr">
        <is>
          <t>资金成本率(年化)</t>
        </is>
      </c>
      <c r="B32" s="0" t="n">
        <v>8</v>
      </c>
      <c r="C32" s="0" t="inlineStr">
        <is>
          <t>%</t>
        </is>
      </c>
    </row>
    <row r="34">
      <c r="A34" s="0" t="inlineStr">
        <is>
          <t>【目标约束】</t>
        </is>
      </c>
    </row>
    <row r="35">
      <c r="A35" s="0" t="inlineStr">
        <is>
          <t>约束项</t>
        </is>
      </c>
      <c r="B35" s="0" t="inlineStr">
        <is>
          <t>目标值</t>
        </is>
      </c>
      <c r="C35" s="0" t="inlineStr">
        <is>
          <t>说明</t>
        </is>
      </c>
    </row>
    <row r="36">
      <c r="A36" s="0" t="inlineStr">
        <is>
          <t>时效上限(天)</t>
        </is>
      </c>
      <c r="B36" s="0" t="n">
        <v>15</v>
      </c>
      <c r="C36" s="0" t="inlineStr">
        <is>
          <t>超过需评估</t>
        </is>
      </c>
    </row>
    <row r="37">
      <c r="A37" s="0" t="inlineStr">
        <is>
          <t>单件成本上限(元)</t>
        </is>
      </c>
      <c r="B37" s="0" t="n">
        <v>80</v>
      </c>
      <c r="C37" s="0" t="inlineStr">
        <is>
          <t>超过需优化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D27" sqref="D27"/>
    </sheetView>
  </sheetViews>
  <sheetFormatPr baseColWidth="8" defaultRowHeight="14"/>
  <cols>
    <col width="17" customWidth="1" style="3" min="1" max="1"/>
    <col width="11.4140625" customWidth="1" style="3" min="4" max="4"/>
    <col width="12.5" customWidth="1" style="3" min="5" max="5"/>
    <col width="15.25" customWidth="1" style="3" min="6" max="6"/>
    <col width="8.6640625" customWidth="1" style="3" min="11" max="11"/>
  </cols>
  <sheetData>
    <row r="1">
      <c r="A1" s="0" t="inlineStr">
        <is>
          <t>【头程单件成本计算】</t>
        </is>
      </c>
    </row>
    <row r="2">
      <c r="A2" s="0" t="inlineStr">
        <is>
          <t>渠道</t>
        </is>
      </c>
      <c r="B2" s="0" t="inlineStr">
        <is>
          <t>运输方式</t>
        </is>
      </c>
      <c r="C2" s="0" t="inlineStr">
        <is>
          <t>单价(元/kg)</t>
        </is>
      </c>
      <c r="D2" s="0" t="inlineStr">
        <is>
          <t>单件重量(kg)</t>
        </is>
      </c>
      <c r="E2" s="0" t="inlineStr">
        <is>
          <t>单件运费(元)</t>
        </is>
      </c>
      <c r="F2" s="0" t="inlineStr">
        <is>
          <t>固定成本分摊(元)</t>
        </is>
      </c>
      <c r="G2" s="0" t="inlineStr">
        <is>
          <t>单件头程成本(元)</t>
        </is>
      </c>
    </row>
    <row r="3">
      <c r="A3" s="0" t="inlineStr">
        <is>
          <t>美西-海运</t>
        </is>
      </c>
      <c r="B3" s="0" t="inlineStr">
        <is>
          <t>海运</t>
        </is>
      </c>
      <c r="C3" s="0">
        <f>参数输入!C9</f>
        <v/>
      </c>
      <c r="D3" s="0">
        <f>参数输入!D9</f>
        <v/>
      </c>
      <c r="E3" s="0">
        <f>C3*D3</f>
        <v/>
      </c>
      <c r="F3" s="0">
        <f>参数输入!E9/参数输入!$B$4</f>
        <v/>
      </c>
      <c r="G3" s="0">
        <f>E3+F3</f>
        <v/>
      </c>
    </row>
    <row r="4">
      <c r="A4" s="0" t="inlineStr">
        <is>
          <t>美西-空运</t>
        </is>
      </c>
      <c r="B4" s="0" t="inlineStr">
        <is>
          <t>空运</t>
        </is>
      </c>
      <c r="C4" s="0">
        <f>参数输入!C10</f>
        <v/>
      </c>
      <c r="D4" s="0">
        <f>参数输入!D10</f>
        <v/>
      </c>
      <c r="E4" s="0">
        <f>C4*D4</f>
        <v/>
      </c>
      <c r="F4" s="0">
        <f>参数输入!E10/参数输入!$B$4</f>
        <v/>
      </c>
      <c r="G4" s="0">
        <f>E4+F4</f>
        <v/>
      </c>
    </row>
    <row r="5">
      <c r="A5" s="0" t="inlineStr">
        <is>
          <t>美西-铁运</t>
        </is>
      </c>
      <c r="B5" s="0" t="inlineStr">
        <is>
          <t>铁运</t>
        </is>
      </c>
      <c r="C5" s="0">
        <f>参数输入!C11</f>
        <v/>
      </c>
      <c r="D5" s="0">
        <f>参数输入!D11</f>
        <v/>
      </c>
      <c r="E5" s="0">
        <f>C5*D5</f>
        <v/>
      </c>
      <c r="F5" s="0">
        <f>参数输入!E11/参数输入!$B$4</f>
        <v/>
      </c>
      <c r="G5" s="0">
        <f>E5+F5</f>
        <v/>
      </c>
    </row>
    <row r="6">
      <c r="A6" s="0" t="inlineStr">
        <is>
          <t>美东-海运</t>
        </is>
      </c>
      <c r="B6" s="0" t="inlineStr">
        <is>
          <t>海运</t>
        </is>
      </c>
      <c r="C6" s="0">
        <f>参数输入!C12</f>
        <v/>
      </c>
      <c r="D6" s="0">
        <f>参数输入!D12</f>
        <v/>
      </c>
      <c r="E6" s="0">
        <f>C6*D6</f>
        <v/>
      </c>
      <c r="F6" s="0">
        <f>参数输入!E12/参数输入!$B$4</f>
        <v/>
      </c>
      <c r="G6" s="0">
        <f>E6+F6</f>
        <v/>
      </c>
    </row>
    <row r="7">
      <c r="A7" s="0" t="inlineStr">
        <is>
          <t>美东-空运</t>
        </is>
      </c>
      <c r="B7" s="0" t="inlineStr">
        <is>
          <t>空运</t>
        </is>
      </c>
      <c r="C7" s="0">
        <f>参数输入!C13</f>
        <v/>
      </c>
      <c r="D7" s="0">
        <f>参数输入!D13</f>
        <v/>
      </c>
      <c r="E7" s="0">
        <f>C7*D7</f>
        <v/>
      </c>
      <c r="F7" s="0">
        <f>参数输入!E13/参数输入!$B$4</f>
        <v/>
      </c>
      <c r="G7" s="0">
        <f>E7+F7</f>
        <v/>
      </c>
    </row>
    <row r="8">
      <c r="A8" s="0" t="inlineStr">
        <is>
          <t>美东-铁运</t>
        </is>
      </c>
      <c r="B8" s="0" t="inlineStr">
        <is>
          <t>铁运</t>
        </is>
      </c>
      <c r="C8" s="0">
        <f>参数输入!C14</f>
        <v/>
      </c>
      <c r="D8" s="0">
        <f>参数输入!D14</f>
        <v/>
      </c>
      <c r="E8" s="0">
        <f>C8*D8</f>
        <v/>
      </c>
      <c r="F8" s="0">
        <f>参数输入!E14/参数输入!$B$4</f>
        <v/>
      </c>
      <c r="G8" s="0">
        <f>E8+F8</f>
        <v/>
      </c>
    </row>
    <row r="9">
      <c r="A9" s="0" t="inlineStr">
        <is>
          <t>欧洲-海运</t>
        </is>
      </c>
      <c r="B9" s="0" t="inlineStr">
        <is>
          <t>海运</t>
        </is>
      </c>
      <c r="C9" s="0">
        <f>参数输入!C15</f>
        <v/>
      </c>
      <c r="D9" s="0">
        <f>参数输入!D15</f>
        <v/>
      </c>
      <c r="E9" s="0">
        <f>C9*D9</f>
        <v/>
      </c>
      <c r="F9" s="0">
        <f>参数输入!E15/参数输入!$B$4</f>
        <v/>
      </c>
      <c r="G9" s="0">
        <f>E9+F9</f>
        <v/>
      </c>
    </row>
    <row r="10">
      <c r="A10" s="0" t="inlineStr">
        <is>
          <t>欧洲-空运</t>
        </is>
      </c>
      <c r="B10" s="0" t="inlineStr">
        <is>
          <t>空运</t>
        </is>
      </c>
      <c r="C10" s="0">
        <f>参数输入!C16</f>
        <v/>
      </c>
      <c r="D10" s="0">
        <f>参数输入!D16</f>
        <v/>
      </c>
      <c r="E10" s="0">
        <f>C10*D10</f>
        <v/>
      </c>
      <c r="F10" s="0">
        <f>参数输入!E16/参数输入!$B$4</f>
        <v/>
      </c>
      <c r="G10" s="0">
        <f>E10+F10</f>
        <v/>
      </c>
    </row>
    <row r="11">
      <c r="A11" s="0" t="inlineStr">
        <is>
          <t>【尾程单件成本计算】</t>
        </is>
      </c>
    </row>
    <row r="12">
      <c r="A12" s="0" t="inlineStr">
        <is>
          <t>渠道</t>
        </is>
      </c>
      <c r="B12" s="0" t="inlineStr">
        <is>
          <t>服务商</t>
        </is>
      </c>
      <c r="C12" s="0" t="inlineStr">
        <is>
          <t>首重(kg)</t>
        </is>
      </c>
      <c r="D12" s="0" t="inlineStr">
        <is>
          <t>首重价格(元)</t>
        </is>
      </c>
      <c r="E12" s="0" t="inlineStr">
        <is>
          <t>续重单价(元/kg)</t>
        </is>
      </c>
      <c r="F12" s="0" t="inlineStr">
        <is>
          <t>单件重量(kg)</t>
        </is>
      </c>
      <c r="G12" s="0" t="inlineStr">
        <is>
          <t>单件尾程成本(元)</t>
        </is>
      </c>
    </row>
    <row r="13">
      <c r="A13" s="0" t="inlineStr">
        <is>
          <t>美西-标准</t>
        </is>
      </c>
      <c r="B13" s="0" t="inlineStr">
        <is>
          <t>USPS</t>
        </is>
      </c>
      <c r="C13" s="0">
        <f>参数输入!C20</f>
        <v/>
      </c>
      <c r="D13" s="0">
        <f>参数输入!D20</f>
        <v/>
      </c>
      <c r="E13" s="0">
        <f>参数输入!E20</f>
        <v/>
      </c>
      <c r="F13" s="0" t="n">
        <v>1.2</v>
      </c>
      <c r="G13" s="0">
        <f>IF(F13&lt;=C13,D13,D13+(F13-C13)*E13)</f>
        <v/>
      </c>
    </row>
    <row r="14">
      <c r="A14" s="0" t="inlineStr">
        <is>
          <t>美西-经济</t>
        </is>
      </c>
      <c r="B14" s="0" t="inlineStr">
        <is>
          <t>FedEx</t>
        </is>
      </c>
      <c r="C14" s="0">
        <f>参数输入!C21</f>
        <v/>
      </c>
      <c r="D14" s="0">
        <f>参数输入!D21</f>
        <v/>
      </c>
      <c r="E14" s="0">
        <f>参数输入!E21</f>
        <v/>
      </c>
      <c r="F14" s="0" t="n">
        <v>1.2</v>
      </c>
      <c r="G14" s="0">
        <f>IF(F14&lt;=C14,D14,D14+(F14-C14)*E14)</f>
        <v/>
      </c>
    </row>
    <row r="15">
      <c r="A15" s="0" t="inlineStr">
        <is>
          <t>美东-标准</t>
        </is>
      </c>
      <c r="B15" s="0" t="inlineStr">
        <is>
          <t>USPS</t>
        </is>
      </c>
      <c r="C15" s="0">
        <f>参数输入!C22</f>
        <v/>
      </c>
      <c r="D15" s="0">
        <f>参数输入!D22</f>
        <v/>
      </c>
      <c r="E15" s="0">
        <f>参数输入!E22</f>
        <v/>
      </c>
      <c r="F15" s="0" t="n">
        <v>1.2</v>
      </c>
      <c r="G15" s="0">
        <f>IF(F15&lt;=C15,D15,D15+(F15-C15)*E15)</f>
        <v/>
      </c>
    </row>
    <row r="16">
      <c r="A16" s="0" t="inlineStr">
        <is>
          <t>美东-经济</t>
        </is>
      </c>
      <c r="B16" s="0" t="inlineStr">
        <is>
          <t>FedEx</t>
        </is>
      </c>
      <c r="C16" s="0">
        <f>参数输入!C23</f>
        <v/>
      </c>
      <c r="D16" s="0">
        <f>参数输入!D23</f>
        <v/>
      </c>
      <c r="E16" s="0">
        <f>参数输入!E23</f>
        <v/>
      </c>
      <c r="F16" s="0" t="n">
        <v>1.2</v>
      </c>
      <c r="G16" s="0">
        <f>IF(F16&lt;=C16,D16,D16+(F16-C16)*E16)</f>
        <v/>
      </c>
    </row>
    <row r="17">
      <c r="A17" s="0" t="inlineStr">
        <is>
          <t>欧洲-标准</t>
        </is>
      </c>
      <c r="B17" s="0" t="inlineStr">
        <is>
          <t>DPD</t>
        </is>
      </c>
      <c r="C17" s="0">
        <f>参数输入!C24</f>
        <v/>
      </c>
      <c r="D17" s="0">
        <f>参数输入!D24</f>
        <v/>
      </c>
      <c r="E17" s="0">
        <f>参数输入!E24</f>
        <v/>
      </c>
      <c r="F17" s="0" t="n">
        <v>1.2</v>
      </c>
      <c r="G17" s="0">
        <f>IF(F17&lt;=C17,D17,D17+(F17-C17)*E17)</f>
        <v/>
      </c>
    </row>
    <row r="18">
      <c r="A18" s="0" t="inlineStr">
        <is>
          <t>欧洲-经济</t>
        </is>
      </c>
      <c r="B18" s="0" t="inlineStr">
        <is>
          <t>UPS</t>
        </is>
      </c>
      <c r="C18" s="0">
        <f>参数输入!C25</f>
        <v/>
      </c>
      <c r="D18" s="0">
        <f>参数输入!D25</f>
        <v/>
      </c>
      <c r="E18" s="0">
        <f>参数输入!E25</f>
        <v/>
      </c>
      <c r="F18" s="0" t="n">
        <v>1.2</v>
      </c>
      <c r="G18" s="0">
        <f>IF(F18&lt;=C18,D18,D18+(F18-C18)*E18)</f>
        <v/>
      </c>
    </row>
    <row r="19">
      <c r="A19" s="0" t="inlineStr">
        <is>
          <t>【总成本汇总】</t>
        </is>
      </c>
    </row>
    <row r="20">
      <c r="A20" s="0" t="inlineStr">
        <is>
          <t>计算项</t>
        </is>
      </c>
      <c r="B20" s="0" t="inlineStr">
        <is>
          <t>金额(元/件)</t>
        </is>
      </c>
    </row>
    <row r="21">
      <c r="A21" s="0" t="inlineStr">
        <is>
          <t>头程平均成本</t>
        </is>
      </c>
      <c r="B21" s="0">
        <f>AVERAGE(G3:G10)</f>
        <v/>
      </c>
    </row>
    <row r="22">
      <c r="A22" s="0" t="inlineStr">
        <is>
          <t>尾程平均成本</t>
        </is>
      </c>
      <c r="B22" s="0">
        <f>AVERAGE(G13:G18)</f>
        <v/>
      </c>
    </row>
    <row r="23">
      <c r="A23" s="0" t="inlineStr">
        <is>
          <t>仓储费</t>
        </is>
      </c>
      <c r="B23" s="0">
        <f>参数输入!B29</f>
        <v/>
      </c>
    </row>
    <row r="24">
      <c r="A24" s="0" t="inlineStr">
        <is>
          <t>操作费</t>
        </is>
      </c>
      <c r="B24" s="0">
        <f>参数输入!B30</f>
        <v/>
      </c>
    </row>
    <row r="25">
      <c r="A25" s="0" t="inlineStr">
        <is>
          <t>管理费</t>
        </is>
      </c>
      <c r="B25" s="0">
        <f>参数输入!B31</f>
        <v/>
      </c>
    </row>
    <row r="26">
      <c r="A26" s="0" t="inlineStr">
        <is>
          <t>资金成本</t>
        </is>
      </c>
      <c r="B26">
        <f>参数输入!B29*参数输入!B32/100/12</f>
        <v/>
      </c>
    </row>
    <row r="27">
      <c r="A27" s="0" t="inlineStr">
        <is>
          <t>单件总成本</t>
        </is>
      </c>
      <c r="B27" s="0">
        <f>SUM(B21:B26)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C30" sqref="C30"/>
    </sheetView>
  </sheetViews>
  <sheetFormatPr baseColWidth="8" defaultRowHeight="14"/>
  <sheetData>
    <row r="1">
      <c r="A1" s="0" t="inlineStr">
        <is>
          <t>【成本优先 vs 时效优先 策略对比】</t>
        </is>
      </c>
    </row>
    <row r="3">
      <c r="A3" s="0" t="inlineStr">
        <is>
          <t>策略类型</t>
        </is>
      </c>
      <c r="B3" s="0" t="inlineStr">
        <is>
          <t>推荐渠道组合</t>
        </is>
      </c>
      <c r="C3" s="0" t="inlineStr">
        <is>
          <t>头程成本(元)</t>
        </is>
      </c>
      <c r="D3" s="0" t="inlineStr">
        <is>
          <t>尾程成本(元)</t>
        </is>
      </c>
      <c r="E3" s="0" t="inlineStr">
        <is>
          <t>总成本(元)</t>
        </is>
      </c>
      <c r="F3" s="0" t="inlineStr">
        <is>
          <t>平均时效(天)</t>
        </is>
      </c>
      <c r="G3" s="0" t="inlineStr">
        <is>
          <t>适用场景</t>
        </is>
      </c>
    </row>
    <row r="4">
      <c r="A4" s="0" t="inlineStr">
        <is>
          <t>成本优先(美西)</t>
        </is>
      </c>
      <c r="B4" s="0" t="inlineStr">
        <is>
          <t>美西-海运+美西-经济</t>
        </is>
      </c>
      <c r="C4" s="0">
        <f>成本计算!G3</f>
        <v/>
      </c>
      <c r="D4" s="0">
        <f>成本计算!G14</f>
        <v/>
      </c>
      <c r="E4" s="0">
        <f>C4+D4</f>
        <v/>
      </c>
      <c r="F4" s="0">
        <f>参数输入!F9+参数输入!F21</f>
        <v/>
      </c>
      <c r="G4" s="0" t="inlineStr">
        <is>
          <t>低价产品、不着急</t>
        </is>
      </c>
    </row>
    <row r="5">
      <c r="A5" s="0" t="inlineStr">
        <is>
          <t>平衡策略(美西)</t>
        </is>
      </c>
      <c r="B5" s="0" t="inlineStr">
        <is>
          <t>美西-铁运+美西-标准</t>
        </is>
      </c>
      <c r="C5" s="0">
        <f>成本计算!G5</f>
        <v/>
      </c>
      <c r="D5" s="0">
        <f>成本计算!G13</f>
        <v/>
      </c>
      <c r="E5" s="0">
        <f>C5+D5</f>
        <v/>
      </c>
      <c r="F5" s="0">
        <f>参数输入!F11+参数输入!F20</f>
        <v/>
      </c>
      <c r="G5" s="0" t="inlineStr">
        <is>
          <t>常规产品、性价比</t>
        </is>
      </c>
    </row>
    <row r="6">
      <c r="A6" s="0" t="inlineStr">
        <is>
          <t>时效优先(美西)</t>
        </is>
      </c>
      <c r="B6" s="0" t="inlineStr">
        <is>
          <t>美西-空运+美西-标准</t>
        </is>
      </c>
      <c r="C6" s="0">
        <f>成本计算!G4</f>
        <v/>
      </c>
      <c r="D6" s="0">
        <f>成本计算!G13</f>
        <v/>
      </c>
      <c r="E6" s="0">
        <f>C6+D6</f>
        <v/>
      </c>
      <c r="F6" s="0">
        <f>参数输入!F10+参数输入!F20</f>
        <v/>
      </c>
      <c r="G6" s="0" t="inlineStr">
        <is>
          <t>高价值、急用</t>
        </is>
      </c>
    </row>
    <row r="7">
      <c r="A7" s="0" t="inlineStr">
        <is>
          <t>成本优先(美东)</t>
        </is>
      </c>
      <c r="B7" s="0" t="inlineStr">
        <is>
          <t>美东-海运+美东-经济</t>
        </is>
      </c>
      <c r="C7" s="0">
        <f>成本计算!G6</f>
        <v/>
      </c>
      <c r="D7" s="0">
        <f>成本计算!G16</f>
        <v/>
      </c>
      <c r="E7" s="0">
        <f>C7+D7</f>
        <v/>
      </c>
      <c r="F7" s="0">
        <f>参数输入!F12+参数输入!F23</f>
        <v/>
      </c>
      <c r="G7" s="0" t="inlineStr">
        <is>
          <t>美东低价产品</t>
        </is>
      </c>
    </row>
    <row r="8">
      <c r="A8" s="0" t="inlineStr">
        <is>
          <t>平衡策略(美东)</t>
        </is>
      </c>
      <c r="B8" s="0" t="inlineStr">
        <is>
          <t>美东-铁运+美东-标准</t>
        </is>
      </c>
      <c r="C8" s="0">
        <f>成本计算!G8</f>
        <v/>
      </c>
      <c r="D8" s="0">
        <f>成本计算!G15</f>
        <v/>
      </c>
      <c r="E8" s="0">
        <f>C8+D8</f>
        <v/>
      </c>
      <c r="F8" s="0">
        <f>参数输入!F14+参数输入!F22</f>
        <v/>
      </c>
      <c r="G8" s="0" t="inlineStr">
        <is>
          <t>美东常规产品</t>
        </is>
      </c>
    </row>
    <row r="9">
      <c r="A9" s="0" t="inlineStr">
        <is>
          <t>时效优先(美东)</t>
        </is>
      </c>
      <c r="B9" s="0" t="inlineStr">
        <is>
          <t>美东-空运+美东-标准</t>
        </is>
      </c>
      <c r="C9" s="0">
        <f>成本计算!G7</f>
        <v/>
      </c>
      <c r="D9" s="0">
        <f>成本计算!G15</f>
        <v/>
      </c>
      <c r="E9" s="0">
        <f>C9+D9</f>
        <v/>
      </c>
      <c r="F9" s="0">
        <f>参数输入!F13+参数输入!F22</f>
        <v/>
      </c>
      <c r="G9" s="0" t="inlineStr">
        <is>
          <t>美东高价值</t>
        </is>
      </c>
    </row>
    <row r="11">
      <c r="A11" s="0" t="inlineStr">
        <is>
          <t>【批量对成本的影响分析】</t>
        </is>
      </c>
    </row>
    <row r="13">
      <c r="A13" s="0" t="inlineStr">
        <is>
          <t>单批次发货量</t>
        </is>
      </c>
      <c r="B13" s="0" t="inlineStr">
        <is>
          <t>头程固定成本分摊(元/件)</t>
        </is>
      </c>
      <c r="C13" s="0" t="inlineStr">
        <is>
          <t>比基准节省</t>
        </is>
      </c>
    </row>
    <row r="14">
      <c r="A14" s="0" t="n">
        <v>500</v>
      </c>
      <c r="B14" s="0">
        <f>参数输入!$E$9/500</f>
        <v/>
      </c>
      <c r="C14" s="0">
        <f>ROUND(参数输入!$E$9/500-参数输入!$E$9/参数输入!$B$4,2)</f>
        <v/>
      </c>
    </row>
    <row r="15">
      <c r="A15" s="0" t="n">
        <v>1000</v>
      </c>
      <c r="B15" s="0">
        <f>参数输入!$E$9/1000</f>
        <v/>
      </c>
      <c r="C15" s="0">
        <f>ROUND(参数输入!$E$9/1000-参数输入!$E$9/参数输入!$B$4,2)</f>
        <v/>
      </c>
    </row>
    <row r="16">
      <c r="A16" s="0" t="n">
        <v>2000</v>
      </c>
      <c r="B16" s="0">
        <f>参数输入!$E$9/2000</f>
        <v/>
      </c>
      <c r="C16" s="0">
        <f>ROUND(参数输入!$E$9/2000-参数输入!$E$9/参数输入!$B$4,2)</f>
        <v/>
      </c>
    </row>
    <row r="17">
      <c r="A17" s="0" t="n">
        <v>5000</v>
      </c>
      <c r="B17" s="0">
        <f>参数输入!$E$9/5000</f>
        <v/>
      </c>
      <c r="C17" s="0">
        <f>ROUND(参数输入!$E$9/5000-参数输入!$E$9/参数输入!$B$4,2)</f>
        <v/>
      </c>
    </row>
    <row r="19">
      <c r="A19" s="0" t="inlineStr">
        <is>
          <t>【策略推荐】</t>
        </is>
      </c>
    </row>
    <row r="20">
      <c r="A20" s="0" t="inlineStr">
        <is>
          <t>综合推荐</t>
        </is>
      </c>
      <c r="B20" s="0" t="inlineStr">
        <is>
          <t>平衡策略（铁运+标准）</t>
        </is>
      </c>
      <c r="C20" s="0" t="inlineStr">
        <is>
          <t>性价比最高，大多数产品适用</t>
        </is>
      </c>
    </row>
    <row r="21">
      <c r="A21" s="0" t="inlineStr">
        <is>
          <t>成本敏感型</t>
        </is>
      </c>
      <c r="B21" s="0" t="inlineStr">
        <is>
          <t>海运+经济</t>
        </is>
      </c>
      <c r="C21" s="0" t="inlineStr">
        <is>
          <t>适合低毛利、不着急的产品</t>
        </is>
      </c>
    </row>
    <row r="22">
      <c r="A22" s="0" t="inlineStr">
        <is>
          <t>时效敏感型</t>
        </is>
      </c>
      <c r="B22" s="0" t="inlineStr">
        <is>
          <t>空运+标准</t>
        </is>
      </c>
      <c r="C22" s="0" t="inlineStr">
        <is>
          <t>适合高毛利、促销品、补急单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:D22"/>
    </sheetView>
  </sheetViews>
  <sheetFormatPr baseColWidth="8" defaultRowHeight="14"/>
  <sheetData>
    <row r="1">
      <c r="A1" s="0" t="inlineStr">
        <is>
          <t>【运价波动敏感度分析】</t>
        </is>
      </c>
    </row>
    <row r="3">
      <c r="A3" s="0" t="inlineStr">
        <is>
          <t>运价变动幅度</t>
        </is>
      </c>
      <c r="B3" s="0" t="inlineStr">
        <is>
          <t>单件成本变化(元)</t>
        </is>
      </c>
      <c r="C3" s="0" t="inlineStr">
        <is>
          <t>总成本变化(元)</t>
        </is>
      </c>
      <c r="D3" s="0" t="inlineStr">
        <is>
          <t>建议</t>
        </is>
      </c>
    </row>
    <row r="4">
      <c r="A4" s="1" t="n">
        <v>0.2</v>
      </c>
      <c r="B4" s="0">
        <f>参数输入!$C$9*参数输入!$D$9*0.2</f>
        <v/>
      </c>
      <c r="C4" s="0">
        <f>B4*参数输入!$B$3</f>
        <v/>
      </c>
      <c r="D4" s="0" t="inlineStr">
        <is>
          <t>考虑切换更便宜渠道</t>
        </is>
      </c>
    </row>
    <row r="5">
      <c r="A5" s="1" t="n">
        <v>0.1</v>
      </c>
      <c r="B5" s="0">
        <f>参数输入!$C$9*参数输入!$D$9*0.1</f>
        <v/>
      </c>
      <c r="C5" s="0">
        <f>B5*参数输入!$B$3</f>
        <v/>
      </c>
      <c r="D5" s="0" t="inlineStr">
        <is>
          <t>监控成本，暂不调整</t>
        </is>
      </c>
    </row>
    <row r="6">
      <c r="A6" s="1" t="n">
        <v>-0.1</v>
      </c>
      <c r="B6" s="0">
        <f>参数输入!$C$9*参数输入!$D$9*-0.1</f>
        <v/>
      </c>
      <c r="C6" s="0">
        <f>B6*参数输入!$B$3</f>
        <v/>
      </c>
      <c r="D6" s="0" t="inlineStr">
        <is>
          <t>有利，可增加发货量</t>
        </is>
      </c>
    </row>
    <row r="7">
      <c r="A7" s="1" t="n">
        <v>-0.2</v>
      </c>
      <c r="B7" s="0">
        <f>参数输入!$C$9*参数输入!$D$9*-0.2</f>
        <v/>
      </c>
      <c r="C7" s="0">
        <f>B7*参数输入!$B$3</f>
        <v/>
      </c>
      <c r="D7" s="0" t="inlineStr">
        <is>
          <t>加大备货，锁定低价</t>
        </is>
      </c>
    </row>
    <row r="9">
      <c r="A9" s="0" t="inlineStr">
        <is>
          <t>【销量波动敏感度分析】</t>
        </is>
      </c>
    </row>
    <row r="11">
      <c r="A11" s="0" t="inlineStr">
        <is>
          <t>日均销量</t>
        </is>
      </c>
      <c r="B11" s="0" t="inlineStr">
        <is>
          <t>单批次发货量</t>
        </is>
      </c>
      <c r="C11" s="0" t="inlineStr">
        <is>
          <t>固定成本分摊(元)</t>
        </is>
      </c>
      <c r="D11" s="0" t="inlineStr">
        <is>
          <t>单件总成本(元)</t>
        </is>
      </c>
    </row>
    <row r="12">
      <c r="A12" s="0">
        <f>参数输入!$B$3*0.5</f>
        <v/>
      </c>
      <c r="B12" s="0">
        <f>参数输入!$B$4*0.5</f>
        <v/>
      </c>
      <c r="C12" s="0">
        <f>参数输入!$E$9/B12</f>
        <v/>
      </c>
      <c r="D12" s="0">
        <f>成本计算!$B$27-成本计算!$B$21+C12</f>
        <v/>
      </c>
    </row>
    <row r="13">
      <c r="A13" s="0">
        <f>参数输入!$B$3*0.8</f>
        <v/>
      </c>
      <c r="B13" s="0">
        <f>参数输入!$B$4*0.8</f>
        <v/>
      </c>
      <c r="C13" s="0">
        <f>参数输入!$E$9/B13</f>
        <v/>
      </c>
      <c r="D13" s="0">
        <f>成本计算!$B$27-成本计算!$B$21+C13</f>
        <v/>
      </c>
    </row>
    <row r="14">
      <c r="A14" s="0">
        <f>参数输入!$B$3*1.0</f>
        <v/>
      </c>
      <c r="B14" s="0">
        <f>参数输入!$B$4*1.0</f>
        <v/>
      </c>
      <c r="C14" s="0">
        <f>参数输入!$E$9/B14</f>
        <v/>
      </c>
      <c r="D14" s="0">
        <f>成本计算!$B$27-成本计算!$B$21+C14</f>
        <v/>
      </c>
    </row>
    <row r="15">
      <c r="A15" s="0">
        <f>参数输入!$B$3*1.2</f>
        <v/>
      </c>
      <c r="B15" s="0">
        <f>参数输入!$B$4*1.2</f>
        <v/>
      </c>
      <c r="C15" s="0">
        <f>参数输入!$E$9/B15</f>
        <v/>
      </c>
      <c r="D15" s="0">
        <f>成本计算!$B$27-成本计算!$B$21+C15</f>
        <v/>
      </c>
    </row>
    <row r="16">
      <c r="A16" s="0">
        <f>参数输入!$B$3*1.5</f>
        <v/>
      </c>
      <c r="B16" s="0">
        <f>参数输入!$B$4*1.5</f>
        <v/>
      </c>
      <c r="C16" s="0">
        <f>参数输入!$E$9/B16</f>
        <v/>
      </c>
      <c r="D16" s="0">
        <f>成本计算!$B$27-成本计算!$B$21+C16</f>
        <v/>
      </c>
    </row>
    <row r="18">
      <c r="A18" s="0" t="inlineStr">
        <is>
          <t>【敏感性结论】</t>
        </is>
      </c>
    </row>
    <row r="19">
      <c r="A19" s="0" t="inlineStr">
        <is>
          <t>关键影响因素</t>
        </is>
      </c>
      <c r="B19" s="0" t="inlineStr">
        <is>
          <t>影响程度</t>
        </is>
      </c>
      <c r="C19" s="0" t="inlineStr">
        <is>
          <t>控制建议</t>
        </is>
      </c>
    </row>
    <row r="20">
      <c r="A20" s="0" t="inlineStr">
        <is>
          <t>运价波动</t>
        </is>
      </c>
      <c r="B20" s="0" t="inlineStr">
        <is>
          <t>高</t>
        </is>
      </c>
      <c r="C20" s="0" t="inlineStr">
        <is>
          <t>签订长约、多家比价</t>
        </is>
      </c>
    </row>
    <row r="21">
      <c r="A21" s="0" t="inlineStr">
        <is>
          <t>批量大小</t>
        </is>
      </c>
      <c r="B21" s="0" t="inlineStr">
        <is>
          <t>中</t>
        </is>
      </c>
      <c r="C21" s="0" t="inlineStr">
        <is>
          <t>合并发货、提高单批次量</t>
        </is>
      </c>
    </row>
    <row r="22">
      <c r="A22" s="0" t="inlineStr">
        <is>
          <t>销量波动</t>
        </is>
      </c>
      <c r="B22" s="0" t="inlineStr">
        <is>
          <t>中</t>
        </is>
      </c>
      <c r="C22" s="0" t="inlineStr">
        <is>
          <t>动态调整、设置安全库存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:A32"/>
    </sheetView>
  </sheetViews>
  <sheetFormatPr baseColWidth="8" defaultRowHeight="14"/>
  <sheetData>
    <row r="1">
      <c r="A1" s="2" t="inlineStr">
        <is>
          <t>【物流成本策略模型使用说明】</t>
        </is>
      </c>
    </row>
    <row r="3">
      <c r="A3" s="0" t="inlineStr">
        <is>
          <t>一、三种核心策略</t>
        </is>
      </c>
    </row>
    <row r="5">
      <c r="A5" s="0" t="inlineStr">
        <is>
          <t>1. 成本优先策略</t>
        </is>
      </c>
    </row>
    <row r="6">
      <c r="A6" s="0" t="inlineStr">
        <is>
          <t xml:space="preserve">   - 渠道组合：海运 + 经济型尾程</t>
        </is>
      </c>
    </row>
    <row r="7">
      <c r="A7" s="0" t="inlineStr">
        <is>
          <t xml:space="preserve">   - 适用：低毛利产品、不紧急的补货</t>
        </is>
      </c>
    </row>
    <row r="8">
      <c r="A8" s="0" t="inlineStr">
        <is>
          <t xml:space="preserve">   - 优点：成本最低</t>
        </is>
      </c>
    </row>
    <row r="9">
      <c r="A9" s="0" t="inlineStr">
        <is>
          <t xml:space="preserve">   - 缺点：时效慢（30-45天）</t>
        </is>
      </c>
    </row>
    <row r="11">
      <c r="A11" s="0" t="inlineStr">
        <is>
          <t>2. 平衡策略（推荐）</t>
        </is>
      </c>
    </row>
    <row r="12">
      <c r="A12" s="0" t="inlineStr">
        <is>
          <t xml:space="preserve">   - 渠道组合：铁运 + 标准尾程</t>
        </is>
      </c>
    </row>
    <row r="13">
      <c r="A13" s="0" t="inlineStr">
        <is>
          <t xml:space="preserve">   - 适用：常规产品、大多数SKU</t>
        </is>
      </c>
    </row>
    <row r="14">
      <c r="A14" s="0" t="inlineStr">
        <is>
          <t xml:space="preserve">   - 优点：成本和时效平衡</t>
        </is>
      </c>
    </row>
    <row r="16">
      <c r="A16" s="0" t="inlineStr">
        <is>
          <t>3. 时效优先策略</t>
        </is>
      </c>
    </row>
    <row r="17">
      <c r="A17" s="0" t="inlineStr">
        <is>
          <t xml:space="preserve">   - 渠道组合：空运 + 标准/快速尾程</t>
        </is>
      </c>
    </row>
    <row r="18">
      <c r="A18" s="0" t="inlineStr">
        <is>
          <t xml:space="preserve">   - 适用：高毛利产品、紧急补货、新品测款</t>
        </is>
      </c>
    </row>
    <row r="19">
      <c r="A19" s="0" t="inlineStr">
        <is>
          <t xml:space="preserve">   - 缺点：成本最高</t>
        </is>
      </c>
    </row>
    <row r="21">
      <c r="A21" s="0" t="inlineStr">
        <is>
          <t>二、成本计算公式</t>
        </is>
      </c>
    </row>
    <row r="23">
      <c r="A23" s="0" t="inlineStr">
        <is>
          <t>头程单件成本 = (单价 × 重量) + (固定成本 ÷ 单批次发货量)</t>
        </is>
      </c>
    </row>
    <row r="24">
      <c r="A24" s="0" t="inlineStr">
        <is>
          <t>尾程单件成本 = 首重价格 + 超重部分 × 续重单价</t>
        </is>
      </c>
    </row>
    <row r="25">
      <c r="A25" s="0" t="inlineStr">
        <is>
          <t>资金成本 = 产品单价 × 资金成本率 ÷ 365 × (在途天数 + 库存天数)</t>
        </is>
      </c>
    </row>
    <row r="27">
      <c r="A27" s="0" t="inlineStr">
        <is>
          <t>三、使用步骤</t>
        </is>
      </c>
    </row>
    <row r="29">
      <c r="A29" s="0" t="inlineStr">
        <is>
          <t>1. 在【参数输入】Sheet中修改基础参数</t>
        </is>
      </c>
    </row>
    <row r="30">
      <c r="A30" s="0" t="inlineStr">
        <is>
          <t>2. 查看【成本计算】Sheet了解各渠道成本</t>
        </is>
      </c>
    </row>
    <row r="31">
      <c r="A31" s="0" t="inlineStr">
        <is>
          <t>3. 在【策略对比】Sheet选择适合的策略</t>
        </is>
      </c>
    </row>
    <row r="32">
      <c r="A32" s="0" t="inlineStr">
        <is>
          <t>4. 使用【敏感度分析】Sheet评估风险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topLeftCell="A13" workbookViewId="0">
      <selection activeCell="F30" sqref="F30"/>
    </sheetView>
  </sheetViews>
  <sheetFormatPr baseColWidth="8" defaultRowHeight="14"/>
  <sheetData>
    <row r="1">
      <c r="A1" s="0" t="inlineStr">
        <is>
          <t>【使用注意点】</t>
        </is>
      </c>
    </row>
    <row r="3">
      <c r="A3" s="0" t="inlineStr">
        <is>
          <t>一、数据输入注意事项</t>
        </is>
      </c>
    </row>
    <row r="5">
      <c r="A5" s="0" t="inlineStr">
        <is>
          <t>⚠️ 参数值必须是纯数字，不能带单位</t>
        </is>
      </c>
    </row>
    <row r="6">
      <c r="A6" s="0" t="inlineStr">
        <is>
          <t>⚠️ 单件重量(kg)和首重(kg)单位必须统一</t>
        </is>
      </c>
    </row>
    <row r="7">
      <c r="A7" s="0" t="inlineStr">
        <is>
          <t>⚠️ 产品单价需要根据实际产品填写</t>
        </is>
      </c>
    </row>
    <row r="9">
      <c r="A9" s="0" t="inlineStr">
        <is>
          <t>二、常见公式错误解决</t>
        </is>
      </c>
    </row>
    <row r="11">
      <c r="A11" s="0" t="inlineStr">
        <is>
          <t>❌ #REF! 错误</t>
        </is>
      </c>
    </row>
    <row r="12">
      <c r="A12" s="0" t="inlineStr">
        <is>
          <t xml:space="preserve">   → Sheet名称不是"参数输入"或"成本计算"</t>
        </is>
      </c>
    </row>
    <row r="13">
      <c r="A13" s="0" t="inlineStr">
        <is>
          <t xml:space="preserve">   → 检查底部标签名称</t>
        </is>
      </c>
    </row>
    <row r="15">
      <c r="A15" s="0" t="inlineStr">
        <is>
          <t>❌ #DIV/0! 错误</t>
        </is>
      </c>
    </row>
    <row r="16">
      <c r="A16" s="0" t="inlineStr">
        <is>
          <t xml:space="preserve">   → 单批次发货量=0</t>
        </is>
      </c>
    </row>
    <row r="17">
      <c r="A17" s="0" t="inlineStr">
        <is>
          <t xml:space="preserve">   → 检查参数输入!B5是否为0</t>
        </is>
      </c>
    </row>
    <row r="19">
      <c r="A19" s="0" t="inlineStr">
        <is>
          <t>❌ #VALUE! 错误</t>
        </is>
      </c>
    </row>
    <row r="20">
      <c r="A20" s="0" t="inlineStr">
        <is>
          <t xml:space="preserve">   → 单元格里有文字而不是数字</t>
        </is>
      </c>
    </row>
    <row r="21">
      <c r="A21" s="0" t="inlineStr">
        <is>
          <t xml:space="preserve">   → 检查参数输入中的数值列</t>
        </is>
      </c>
    </row>
    <row r="23">
      <c r="A23" s="0" t="inlineStr">
        <is>
          <t>三、业务注意点</t>
        </is>
      </c>
    </row>
    <row r="25">
      <c r="A25" s="0" t="inlineStr">
        <is>
          <t>📌 成本不是唯一因素，断货损失可能大于运费差价</t>
        </is>
      </c>
    </row>
    <row r="26">
      <c r="A26" s="0" t="inlineStr">
        <is>
          <t>📌 旺季前要提前备货，不能只看成本</t>
        </is>
      </c>
    </row>
    <row r="27">
      <c r="A27" s="0" t="inlineStr">
        <is>
          <t>📌 保持2-3个备用渠道，应对突发情况</t>
        </is>
      </c>
    </row>
    <row r="28">
      <c r="A28" s="0" t="inlineStr">
        <is>
          <t>📌 每月更新一次运价、销量参数</t>
        </is>
      </c>
    </row>
    <row r="30">
      <c r="A30" s="0" t="inlineStr">
        <is>
          <t>四、模型维护建议</t>
        </is>
      </c>
    </row>
    <row r="32">
      <c r="A32" s="0" t="inlineStr">
        <is>
          <t>📅 每周：更新销量数据</t>
        </is>
      </c>
    </row>
    <row r="33">
      <c r="A33" s="0" t="inlineStr">
        <is>
          <t>📅 每月：更新运价、汇率</t>
        </is>
      </c>
    </row>
    <row r="34">
      <c r="A34" s="0" t="inlineStr">
        <is>
          <t>📅 每季度：复盘策略有效性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T195238</dc:creator>
  <dcterms:created xmlns:dcterms="http://purl.org/dc/terms/" xmlns:xsi="http://www.w3.org/2001/XMLSchema-instance" xsi:type="dcterms:W3CDTF">2026-05-27T07:32:36Z</dcterms:created>
  <dcterms:modified xmlns:dcterms="http://purl.org/dc/terms/" xmlns:xsi="http://www.w3.org/2001/XMLSchema-instance" xsi:type="dcterms:W3CDTF">2026-05-27T09:01:15Z</dcterms:modified>
  <cp:lastModifiedBy>T195238</cp:lastModifiedBy>
</cp:coreProperties>
</file>