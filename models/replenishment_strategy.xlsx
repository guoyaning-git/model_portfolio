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溜溜球\简\策略模型\"/>
    </mc:Choice>
  </mc:AlternateContent>
  <xr:revisionPtr revIDLastSave="0" documentId="13_ncr:1_{D50F8A7A-CFA0-4BF2-BDD1-4D7C151AC54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参数输入" sheetId="1" r:id="rId1"/>
    <sheet name="补货计算" sheetId="2" r:id="rId2"/>
    <sheet name="策略对比" sheetId="3" r:id="rId3"/>
    <sheet name="敏感度分析" sheetId="4" r:id="rId4"/>
    <sheet name="使用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" l="1"/>
  <c r="C16" i="4"/>
  <c r="B16" i="4"/>
  <c r="D16" i="4" s="1"/>
  <c r="C15" i="4"/>
  <c r="B15" i="4"/>
  <c r="D15" i="4" s="1"/>
  <c r="B14" i="4"/>
  <c r="C14" i="4" s="1"/>
  <c r="D14" i="4" s="1"/>
  <c r="B13" i="4"/>
  <c r="C8" i="4"/>
  <c r="B8" i="4"/>
  <c r="F8" i="4" s="1"/>
  <c r="F7" i="4"/>
  <c r="E7" i="4"/>
  <c r="D7" i="4"/>
  <c r="C7" i="4"/>
  <c r="B7" i="4"/>
  <c r="F6" i="4"/>
  <c r="E6" i="4"/>
  <c r="C6" i="4"/>
  <c r="B6" i="4"/>
  <c r="D6" i="4" s="1"/>
  <c r="C5" i="4"/>
  <c r="B5" i="4"/>
  <c r="F5" i="4" s="1"/>
  <c r="F4" i="4"/>
  <c r="C4" i="4"/>
  <c r="B4" i="4"/>
  <c r="E4" i="4" s="1"/>
  <c r="B13" i="3"/>
  <c r="D11" i="3"/>
  <c r="C11" i="3"/>
  <c r="F6" i="3"/>
  <c r="G6" i="3" s="1"/>
  <c r="D14" i="3" s="1"/>
  <c r="D6" i="3"/>
  <c r="E6" i="3" s="1"/>
  <c r="D12" i="3" s="1"/>
  <c r="F5" i="3"/>
  <c r="G5" i="3" s="1"/>
  <c r="C14" i="3" s="1"/>
  <c r="D5" i="3"/>
  <c r="E5" i="3" s="1"/>
  <c r="C12" i="3" s="1"/>
  <c r="F4" i="3"/>
  <c r="G4" i="3" s="1"/>
  <c r="B14" i="3" s="1"/>
  <c r="D4" i="3"/>
  <c r="B11" i="3" s="1"/>
  <c r="C50" i="2"/>
  <c r="C49" i="2"/>
  <c r="C47" i="2"/>
  <c r="C41" i="2"/>
  <c r="C40" i="2"/>
  <c r="C39" i="2"/>
  <c r="C42" i="2" s="1"/>
  <c r="C27" i="2"/>
  <c r="C16" i="2"/>
  <c r="C17" i="2" s="1"/>
  <c r="C15" i="2"/>
  <c r="C8" i="2"/>
  <c r="C10" i="2" s="1"/>
  <c r="C7" i="2"/>
  <c r="C6" i="2"/>
  <c r="C5" i="2"/>
  <c r="C4" i="2"/>
  <c r="C26" i="2" l="1"/>
  <c r="C19" i="2"/>
  <c r="C48" i="2"/>
  <c r="C51" i="2" s="1"/>
  <c r="C32" i="2"/>
  <c r="C25" i="2"/>
  <c r="C13" i="3"/>
  <c r="D13" i="3"/>
  <c r="D8" i="4"/>
  <c r="E8" i="4"/>
  <c r="D4" i="4"/>
  <c r="C13" i="4"/>
  <c r="D13" i="4" s="1"/>
  <c r="C9" i="2"/>
  <c r="C18" i="2" s="1"/>
  <c r="E4" i="3"/>
  <c r="B12" i="3" s="1"/>
  <c r="D5" i="4"/>
  <c r="E5" i="4"/>
  <c r="C17" i="4"/>
  <c r="D17" i="4" s="1"/>
  <c r="C33" i="2" l="1"/>
  <c r="C34" i="2"/>
  <c r="C24" i="2"/>
</calcChain>
</file>

<file path=xl/sharedStrings.xml><?xml version="1.0" encoding="utf-8"?>
<sst xmlns="http://schemas.openxmlformats.org/spreadsheetml/2006/main" count="297" uniqueCount="220">
  <si>
    <t>【基础业务参数】</t>
  </si>
  <si>
    <t>参数名称</t>
  </si>
  <si>
    <t>参数值</t>
  </si>
  <si>
    <t>单位</t>
  </si>
  <si>
    <t>备注</t>
  </si>
  <si>
    <t>日均销量</t>
  </si>
  <si>
    <t>件/天</t>
  </si>
  <si>
    <t>过去30天平均值</t>
  </si>
  <si>
    <t>销量标准差</t>
  </si>
  <si>
    <t>件</t>
  </si>
  <si>
    <t>过去30天计算</t>
  </si>
  <si>
    <t>产品单价</t>
  </si>
  <si>
    <t>元/件</t>
  </si>
  <si>
    <t>产品成本价</t>
  </si>
  <si>
    <t>毛利率</t>
  </si>
  <si>
    <t>%</t>
  </si>
  <si>
    <t>售价=单价÷(1-毛利率)</t>
  </si>
  <si>
    <t>资金成本率</t>
  </si>
  <si>
    <t>年化</t>
  </si>
  <si>
    <t>【库存参数】</t>
  </si>
  <si>
    <t>当前库存</t>
  </si>
  <si>
    <t>现有库存量</t>
  </si>
  <si>
    <t>在途库存</t>
  </si>
  <si>
    <t>已发未到</t>
  </si>
  <si>
    <t>安全库存天数</t>
  </si>
  <si>
    <t>天</t>
  </si>
  <si>
    <t>业务设定</t>
  </si>
  <si>
    <t>补货周期</t>
  </si>
  <si>
    <t>采购+物流天数</t>
  </si>
  <si>
    <t>服务水平</t>
  </si>
  <si>
    <t>不缺货概率</t>
  </si>
  <si>
    <t>Z值</t>
  </si>
  <si>
    <t>服务水平95%对应Z=1.65</t>
  </si>
  <si>
    <t>【补货成本参数】</t>
  </si>
  <si>
    <t>单次采购固定成本</t>
  </si>
  <si>
    <t>元/次</t>
  </si>
  <si>
    <t>下单行政成本</t>
  </si>
  <si>
    <t>单件持有成本率</t>
  </si>
  <si>
    <t>占产品单价比例</t>
  </si>
  <si>
    <t>缺货损失率</t>
  </si>
  <si>
    <t>【库存阈值参数】</t>
  </si>
  <si>
    <t>补货点预警(天)</t>
  </si>
  <si>
    <t>低于此值建议补货</t>
  </si>
  <si>
    <t>紧急补货预警(天)</t>
  </si>
  <si>
    <t>低于此值紧急补货</t>
  </si>
  <si>
    <t>目标库存天数</t>
  </si>
  <si>
    <t>目标覆盖天数</t>
  </si>
  <si>
    <t>【安全库存计算】</t>
  </si>
  <si>
    <t>计算项</t>
  </si>
  <si>
    <t>公式</t>
  </si>
  <si>
    <t>数值</t>
  </si>
  <si>
    <t>日均销量（参数引用）</t>
  </si>
  <si>
    <t>销量标准差（参数引用）</t>
  </si>
  <si>
    <t>服务水平Z值</t>
  </si>
  <si>
    <t>服务水平Z值（参数引用）</t>
  </si>
  <si>
    <t>补货周期（参数引用）</t>
  </si>
  <si>
    <t>安全库存</t>
  </si>
  <si>
    <t>Z值 × 标准差 × √补货周期</t>
  </si>
  <si>
    <t>补货点</t>
  </si>
  <si>
    <t>日均销量 × 补货周期 + 安全库存</t>
  </si>
  <si>
    <t>目标库存</t>
  </si>
  <si>
    <t>日均销量 × (补货周期 + 安全库存天数) + 安全库存</t>
  </si>
  <si>
    <t>【当前库存状况】</t>
  </si>
  <si>
    <t>当前库存（参数引用）</t>
  </si>
  <si>
    <t>在途库存（参数引用）</t>
  </si>
  <si>
    <t>有效库存</t>
  </si>
  <si>
    <t>当前库存 + 在途库存</t>
  </si>
  <si>
    <t>补货点（引用R9）</t>
  </si>
  <si>
    <t>目标库存（引用R10）</t>
  </si>
  <si>
    <t>【补货决策】</t>
  </si>
  <si>
    <t>判断项</t>
  </si>
  <si>
    <t>条件</t>
  </si>
  <si>
    <t>结论</t>
  </si>
  <si>
    <t>是否低于补货点</t>
  </si>
  <si>
    <t>是否低于目标库存</t>
  </si>
  <si>
    <t>建议补货量</t>
  </si>
  <si>
    <t>MAX(0, 目标库存 - 有效库存)</t>
  </si>
  <si>
    <t>预计可卖天数</t>
  </si>
  <si>
    <t>当前库存 ÷ 日均销量</t>
  </si>
  <si>
    <t>【补货预警级别】</t>
  </si>
  <si>
    <t>预警级别</t>
  </si>
  <si>
    <t>触发条件</t>
  </si>
  <si>
    <t>当前状态</t>
  </si>
  <si>
    <t>🟢 库存充足</t>
  </si>
  <si>
    <t>有效库存 &gt; 目标库存</t>
  </si>
  <si>
    <t>🟡 建议补货</t>
  </si>
  <si>
    <t>补货点 &lt; 有效库存 ≤ 目标库存</t>
  </si>
  <si>
    <t>🔴 紧急补货</t>
  </si>
  <si>
    <t>有效库存 ≤ 补货点</t>
  </si>
  <si>
    <t>【经济订货批量EOQ】</t>
  </si>
  <si>
    <t>年需求量</t>
  </si>
  <si>
    <t>日均销量 × 365</t>
  </si>
  <si>
    <t>件/年</t>
  </si>
  <si>
    <t>单次采购固定成本（参数引用）</t>
  </si>
  <si>
    <t>单件持有成本</t>
  </si>
  <si>
    <t>产品单价 × 持有成本率</t>
  </si>
  <si>
    <t>元/件/年</t>
  </si>
  <si>
    <t>经济订货批量EOQ</t>
  </si>
  <si>
    <t>SQRT(2 × 年需求 × 单次成本 ÷ 持有成本)</t>
  </si>
  <si>
    <t>件/批</t>
  </si>
  <si>
    <t>【总成本分析】</t>
  </si>
  <si>
    <t>成本项</t>
  </si>
  <si>
    <t>采购成本</t>
  </si>
  <si>
    <t>采购固定成本分摊</t>
  </si>
  <si>
    <t>单次成本 ÷ EOQ</t>
  </si>
  <si>
    <t>持有成本</t>
  </si>
  <si>
    <t>产品单价 × 持有成本率 ÷ 2</t>
  </si>
  <si>
    <t>缺货成本</t>
  </si>
  <si>
    <t>产品单价 × 缺货损失率 × 缺货概率</t>
  </si>
  <si>
    <t>【单件总补货成本】</t>
  </si>
  <si>
    <t>采购+固定+持有+缺货</t>
  </si>
  <si>
    <t>【补货策略对比】</t>
  </si>
  <si>
    <t>策略名称</t>
  </si>
  <si>
    <t>补货周期(天)</t>
  </si>
  <si>
    <t>安全库存(件)</t>
  </si>
  <si>
    <t>补货点(件)</t>
  </si>
  <si>
    <t>EOQ(件)</t>
  </si>
  <si>
    <t>平均库存(件)</t>
  </si>
  <si>
    <t>适用场景</t>
  </si>
  <si>
    <t>激进型</t>
  </si>
  <si>
    <t>资金优先、快周转</t>
  </si>
  <si>
    <t>平衡型</t>
  </si>
  <si>
    <t>推荐：大部分产品</t>
  </si>
  <si>
    <t>保守型</t>
  </si>
  <si>
    <t>避免断货、稳定优先</t>
  </si>
  <si>
    <t>【策略对比分析】</t>
  </si>
  <si>
    <t>对比项</t>
  </si>
  <si>
    <t>最大库存(件)</t>
  </si>
  <si>
    <t>年平均周转次数</t>
  </si>
  <si>
    <t>【策略推荐】</t>
  </si>
  <si>
    <t>推荐策略</t>
  </si>
  <si>
    <t>毛利高、资金充足</t>
  </si>
  <si>
    <t>保守型（避免断货）</t>
  </si>
  <si>
    <t>毛利中等、求稳</t>
  </si>
  <si>
    <t>平衡型（推荐）</t>
  </si>
  <si>
    <t>毛利低、资金紧张</t>
  </si>
  <si>
    <t>激进型（快周转）</t>
  </si>
  <si>
    <t>新品测款</t>
  </si>
  <si>
    <t>激进型（少备货）</t>
  </si>
  <si>
    <t>爆款产品</t>
  </si>
  <si>
    <t>保守型（保证供应）</t>
  </si>
  <si>
    <t>【日均销量波动分析】</t>
  </si>
  <si>
    <t>销量变化</t>
  </si>
  <si>
    <t>EOQ</t>
  </si>
  <si>
    <t>年周转次数</t>
  </si>
  <si>
    <t>【补货周期波动分析】</t>
  </si>
  <si>
    <t>补货周期变化</t>
  </si>
  <si>
    <t>影响说明</t>
  </si>
  <si>
    <t>周期越短，库存越低</t>
  </si>
  <si>
    <t>周期越短，风险越高</t>
  </si>
  <si>
    <t>当前设置</t>
  </si>
  <si>
    <t>周期越长，库存越高</t>
  </si>
  <si>
    <t>周期越长，资金占用多</t>
  </si>
  <si>
    <t>【敏感性结论】</t>
  </si>
  <si>
    <t>敏感因素</t>
  </si>
  <si>
    <t>影响方向</t>
  </si>
  <si>
    <t>控制建议</t>
  </si>
  <si>
    <t>正相关</t>
  </si>
  <si>
    <t>每周更新销量数据</t>
  </si>
  <si>
    <t>优化供应链缩短周期</t>
  </si>
  <si>
    <t>销量波动</t>
  </si>
  <si>
    <t>波动大时增加安全库存</t>
  </si>
  <si>
    <t>高价产品要更谨慎</t>
  </si>
  <si>
    <t>【补货策略模型使用说明】</t>
  </si>
  <si>
    <t>一、核心计算公式</t>
  </si>
  <si>
    <t>1. 安全库存 = Z值 × 标准差 × √补货周期</t>
  </si>
  <si>
    <t xml:space="preserve">   - Z值：服务水平95%对应1.65</t>
  </si>
  <si>
    <t xml:space="preserve">   - 标准差：销量波动程度</t>
  </si>
  <si>
    <t xml:space="preserve">   - 补货周期：采购+物流天数</t>
  </si>
  <si>
    <t>2. 补货点 = 日均销量 × 补货周期 + 安全库存</t>
  </si>
  <si>
    <t xml:space="preserve">   - 库存低于此值，触发补货</t>
  </si>
  <si>
    <t>3. 目标库存 = 日均销量 × (补货周期 + 安全库存天数) + 安全库存</t>
  </si>
  <si>
    <t xml:space="preserve">   - 补货的目标量</t>
  </si>
  <si>
    <t>4. 经济订货批量EOQ = √(2 × 年需求 × 单次采购成本 ÷ 持有成本)</t>
  </si>
  <si>
    <t xml:space="preserve">   - 使总成本最低的订货量</t>
  </si>
  <si>
    <t>二、三种补货策略</t>
  </si>
  <si>
    <t>| 策略 | 安全库存 | 特点 | 适用 |</t>
  </si>
  <si>
    <t>|------|----------|------|------|</t>
  </si>
  <si>
    <t>| 激进型 | 低 | 库存低、资金占用少 | 资金紧张、快周转 |</t>
  </si>
  <si>
    <t>| 平衡型 | 中 | 成本与风险平衡 | 大部分产品 |</t>
  </si>
  <si>
    <t>| 保守型 | 高 | 库存高、不断货 | 爆款、高毛利 |</t>
  </si>
  <si>
    <t>三、使用步骤</t>
  </si>
  <si>
    <t>1. 在【参数输入】Sheet填写基础参数</t>
  </si>
  <si>
    <t xml:space="preserve">   - 日均销量、标准差（从历史数据计算）</t>
  </si>
  <si>
    <t xml:space="preserve">   - 当前库存、在途库存（从系统查询）</t>
  </si>
  <si>
    <t xml:space="preserve">   - 补货周期（问采购+物流）</t>
  </si>
  <si>
    <t>2. 查看【补货计算】Sheet</t>
  </si>
  <si>
    <t xml:space="preserve">   - 自动计算安全库存、补货点、目标库存</t>
  </si>
  <si>
    <t xml:space="preserve">   - 查看当前库存状态和预警级别</t>
  </si>
  <si>
    <t>3. 根据预警级别决策</t>
  </si>
  <si>
    <t xml:space="preserve">   - 🟢 充足：不需要补货</t>
  </si>
  <si>
    <t xml:space="preserve">   - 🟡 建议补货：准备下单</t>
  </si>
  <si>
    <t xml:space="preserve">   - 🔴 紧急补货：立即下单</t>
  </si>
  <si>
    <t>4. 在【策略对比】Sheet选择策略</t>
  </si>
  <si>
    <t xml:space="preserve">   - 对比激进型/平衡型/保守型的差异</t>
  </si>
  <si>
    <t xml:space="preserve">   - 根据产品特点选择</t>
  </si>
  <si>
    <t>5. 使用【敏感度分析】评估风险</t>
  </si>
  <si>
    <t xml:space="preserve">   - 销量波动的影响</t>
  </si>
  <si>
    <t xml:space="preserve">   - 补货周期变化的影响</t>
  </si>
  <si>
    <t>四、补货决策流程</t>
  </si>
  <si>
    <t>开始</t>
  </si>
  <si>
    <t xml:space="preserve">  ↓</t>
  </si>
  <si>
    <t>录入当前库存、在途库存</t>
  </si>
  <si>
    <t>计算有效库存 = 当前 + 在途</t>
  </si>
  <si>
    <t>有效库存 ≤ 补货点？</t>
  </si>
  <si>
    <t xml:space="preserve">  ↓ 是</t>
  </si>
  <si>
    <t>立即下单，补货量 = 目标库存 - 有效库存</t>
  </si>
  <si>
    <t>选择补货策略（激进/平衡/保守）</t>
  </si>
  <si>
    <t>生成采购单</t>
  </si>
  <si>
    <t>跟进到货</t>
  </si>
  <si>
    <t>五、注意事项</t>
  </si>
  <si>
    <t>⚠️ 日均销量建议用过去30天移动平均</t>
  </si>
  <si>
    <t>⚠️ 销量波动大时，适当提高安全库存</t>
  </si>
  <si>
    <t>⚠️ 旺季前提前增加目标库存</t>
  </si>
  <si>
    <t>⚠️ 滞销品不要用此模型，应先清库存</t>
  </si>
  <si>
    <t>⚠️ 补货周期要包含采购、生产、物流全链路</t>
  </si>
  <si>
    <t>六、模型维护</t>
  </si>
  <si>
    <t>📅 每周：更新日均销量、当前库存</t>
  </si>
  <si>
    <t>📅 每月：复盘补货准确率</t>
  </si>
  <si>
    <t>📅 每季度：调整安全库存参数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</si>
</sst>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I42" sqref="I42"/>
    </sheetView>
  </sheetViews>
  <sheetFormatPr defaultRowHeight="1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>
        <v>100</v>
      </c>
      <c r="C3" t="s">
        <v>6</v>
      </c>
      <c r="D3" t="s">
        <v>7</v>
      </c>
    </row>
    <row r="4" spans="1:4" x14ac:dyDescent="0.3">
      <c r="A4" t="s">
        <v>8</v>
      </c>
      <c r="B4">
        <v>20</v>
      </c>
      <c r="C4" t="s">
        <v>9</v>
      </c>
      <c r="D4" t="s">
        <v>10</v>
      </c>
    </row>
    <row r="5" spans="1:4" x14ac:dyDescent="0.3">
      <c r="A5" t="s">
        <v>11</v>
      </c>
      <c r="B5">
        <v>50</v>
      </c>
      <c r="C5" t="s">
        <v>12</v>
      </c>
      <c r="D5" t="s">
        <v>13</v>
      </c>
    </row>
    <row r="6" spans="1:4" x14ac:dyDescent="0.3">
      <c r="A6" t="s">
        <v>14</v>
      </c>
      <c r="B6">
        <v>30</v>
      </c>
      <c r="C6" t="s">
        <v>15</v>
      </c>
      <c r="D6" t="s">
        <v>16</v>
      </c>
    </row>
    <row r="7" spans="1:4" x14ac:dyDescent="0.3">
      <c r="A7" t="s">
        <v>17</v>
      </c>
      <c r="B7">
        <v>8</v>
      </c>
      <c r="C7" t="s">
        <v>15</v>
      </c>
      <c r="D7" t="s">
        <v>18</v>
      </c>
    </row>
    <row r="9" spans="1:4" x14ac:dyDescent="0.3">
      <c r="A9" t="s">
        <v>19</v>
      </c>
    </row>
    <row r="10" spans="1:4" x14ac:dyDescent="0.3">
      <c r="A10" t="s">
        <v>1</v>
      </c>
      <c r="B10" t="s">
        <v>2</v>
      </c>
      <c r="C10" t="s">
        <v>3</v>
      </c>
      <c r="D10" t="s">
        <v>4</v>
      </c>
    </row>
    <row r="11" spans="1:4" x14ac:dyDescent="0.3">
      <c r="A11" t="s">
        <v>20</v>
      </c>
      <c r="B11">
        <v>500</v>
      </c>
      <c r="C11" t="s">
        <v>9</v>
      </c>
      <c r="D11" t="s">
        <v>21</v>
      </c>
    </row>
    <row r="12" spans="1:4" x14ac:dyDescent="0.3">
      <c r="A12" t="s">
        <v>22</v>
      </c>
      <c r="B12">
        <v>300</v>
      </c>
      <c r="C12" t="s">
        <v>9</v>
      </c>
      <c r="D12" t="s">
        <v>23</v>
      </c>
    </row>
    <row r="13" spans="1:4" x14ac:dyDescent="0.3">
      <c r="A13" t="s">
        <v>24</v>
      </c>
      <c r="B13">
        <v>14</v>
      </c>
      <c r="C13" t="s">
        <v>25</v>
      </c>
      <c r="D13" t="s">
        <v>26</v>
      </c>
    </row>
    <row r="14" spans="1:4" x14ac:dyDescent="0.3">
      <c r="A14" t="s">
        <v>27</v>
      </c>
      <c r="B14">
        <v>7</v>
      </c>
      <c r="C14" t="s">
        <v>25</v>
      </c>
      <c r="D14" t="s">
        <v>28</v>
      </c>
    </row>
    <row r="15" spans="1:4" x14ac:dyDescent="0.3">
      <c r="A15" t="s">
        <v>29</v>
      </c>
      <c r="B15">
        <v>95</v>
      </c>
      <c r="C15" t="s">
        <v>15</v>
      </c>
      <c r="D15" t="s">
        <v>30</v>
      </c>
    </row>
    <row r="16" spans="1:4" x14ac:dyDescent="0.3">
      <c r="A16" t="s">
        <v>31</v>
      </c>
      <c r="B16">
        <v>1.65</v>
      </c>
      <c r="D16" t="s">
        <v>32</v>
      </c>
    </row>
    <row r="18" spans="1:4" x14ac:dyDescent="0.3">
      <c r="A18" t="s">
        <v>33</v>
      </c>
    </row>
    <row r="19" spans="1:4" x14ac:dyDescent="0.3">
      <c r="A19" t="s">
        <v>1</v>
      </c>
      <c r="B19" t="s">
        <v>2</v>
      </c>
      <c r="C19" t="s">
        <v>3</v>
      </c>
      <c r="D19" t="s">
        <v>4</v>
      </c>
    </row>
    <row r="20" spans="1:4" x14ac:dyDescent="0.3">
      <c r="A20" t="s">
        <v>34</v>
      </c>
      <c r="B20">
        <v>500</v>
      </c>
      <c r="C20" t="s">
        <v>35</v>
      </c>
      <c r="D20" t="s">
        <v>36</v>
      </c>
    </row>
    <row r="21" spans="1:4" x14ac:dyDescent="0.3">
      <c r="A21" t="s">
        <v>37</v>
      </c>
      <c r="B21">
        <v>15</v>
      </c>
      <c r="C21" t="s">
        <v>15</v>
      </c>
      <c r="D21" t="s">
        <v>38</v>
      </c>
    </row>
    <row r="22" spans="1:4" x14ac:dyDescent="0.3">
      <c r="A22" t="s">
        <v>39</v>
      </c>
      <c r="B22">
        <v>10</v>
      </c>
      <c r="C22" t="s">
        <v>15</v>
      </c>
      <c r="D22" t="s">
        <v>38</v>
      </c>
    </row>
    <row r="24" spans="1:4" x14ac:dyDescent="0.3">
      <c r="A24" t="s">
        <v>40</v>
      </c>
    </row>
    <row r="25" spans="1:4" x14ac:dyDescent="0.3">
      <c r="A25" t="s">
        <v>1</v>
      </c>
      <c r="B25" t="s">
        <v>2</v>
      </c>
      <c r="C25" t="s">
        <v>3</v>
      </c>
      <c r="D25" t="s">
        <v>4</v>
      </c>
    </row>
    <row r="26" spans="1:4" x14ac:dyDescent="0.3">
      <c r="A26" t="s">
        <v>41</v>
      </c>
      <c r="B26">
        <v>3</v>
      </c>
      <c r="C26" t="s">
        <v>25</v>
      </c>
      <c r="D26" t="s">
        <v>42</v>
      </c>
    </row>
    <row r="27" spans="1:4" x14ac:dyDescent="0.3">
      <c r="A27" t="s">
        <v>43</v>
      </c>
      <c r="B27">
        <v>1</v>
      </c>
      <c r="C27" t="s">
        <v>25</v>
      </c>
      <c r="D27" t="s">
        <v>44</v>
      </c>
    </row>
    <row r="28" spans="1:4" x14ac:dyDescent="0.3">
      <c r="A28" t="s">
        <v>45</v>
      </c>
      <c r="B28">
        <v>30</v>
      </c>
      <c r="C28" t="s">
        <v>25</v>
      </c>
      <c r="D28" t="s">
        <v>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activeCell="L31" sqref="L31"/>
    </sheetView>
  </sheetViews>
  <sheetFormatPr defaultRowHeight="14" x14ac:dyDescent="0.3"/>
  <cols>
    <col min="1" max="1" width="15.6640625" customWidth="1"/>
    <col min="2" max="2" width="16.9140625" customWidth="1"/>
    <col min="3" max="3" width="23.08203125" customWidth="1"/>
  </cols>
  <sheetData>
    <row r="1" spans="1:4" x14ac:dyDescent="0.3">
      <c r="A1" t="s">
        <v>47</v>
      </c>
    </row>
    <row r="3" spans="1:4" x14ac:dyDescent="0.3">
      <c r="A3" t="s">
        <v>48</v>
      </c>
      <c r="B3" t="s">
        <v>49</v>
      </c>
      <c r="C3" t="s">
        <v>50</v>
      </c>
      <c r="D3" t="s">
        <v>3</v>
      </c>
    </row>
    <row r="4" spans="1:4" x14ac:dyDescent="0.3">
      <c r="A4" t="s">
        <v>5</v>
      </c>
      <c r="B4" t="s">
        <v>51</v>
      </c>
      <c r="C4">
        <f>参数输入!B3</f>
        <v>100</v>
      </c>
      <c r="D4" t="s">
        <v>6</v>
      </c>
    </row>
    <row r="5" spans="1:4" x14ac:dyDescent="0.3">
      <c r="A5" t="s">
        <v>8</v>
      </c>
      <c r="B5" t="s">
        <v>52</v>
      </c>
      <c r="C5">
        <f>参数输入!B4</f>
        <v>20</v>
      </c>
      <c r="D5" t="s">
        <v>9</v>
      </c>
    </row>
    <row r="6" spans="1:4" x14ac:dyDescent="0.3">
      <c r="A6" t="s">
        <v>53</v>
      </c>
      <c r="B6" t="s">
        <v>54</v>
      </c>
      <c r="C6">
        <f>参数输入!B16</f>
        <v>1.65</v>
      </c>
    </row>
    <row r="7" spans="1:4" x14ac:dyDescent="0.3">
      <c r="A7" t="s">
        <v>27</v>
      </c>
      <c r="B7" t="s">
        <v>55</v>
      </c>
      <c r="C7">
        <f>参数输入!B14</f>
        <v>7</v>
      </c>
      <c r="D7" t="s">
        <v>25</v>
      </c>
    </row>
    <row r="8" spans="1:4" x14ac:dyDescent="0.3">
      <c r="A8" t="s">
        <v>56</v>
      </c>
      <c r="B8" t="s">
        <v>57</v>
      </c>
      <c r="C8">
        <f>参数输入!B16*参数输入!B4*SQRT(参数输入!B14)</f>
        <v>87.309793265131489</v>
      </c>
      <c r="D8" t="s">
        <v>9</v>
      </c>
    </row>
    <row r="9" spans="1:4" x14ac:dyDescent="0.3">
      <c r="A9" t="s">
        <v>58</v>
      </c>
      <c r="B9" t="s">
        <v>59</v>
      </c>
      <c r="C9">
        <f>参数输入!B3*参数输入!B14+C8</f>
        <v>787.30979326513147</v>
      </c>
      <c r="D9" t="s">
        <v>9</v>
      </c>
    </row>
    <row r="10" spans="1:4" x14ac:dyDescent="0.3">
      <c r="A10" t="s">
        <v>60</v>
      </c>
      <c r="B10" t="s">
        <v>61</v>
      </c>
      <c r="C10">
        <f>参数输入!B3*(参数输入!B14+参数输入!B13)+C8</f>
        <v>2187.3097932651317</v>
      </c>
      <c r="D10" t="s">
        <v>9</v>
      </c>
    </row>
    <row r="12" spans="1:4" x14ac:dyDescent="0.3">
      <c r="A12" t="s">
        <v>62</v>
      </c>
    </row>
    <row r="14" spans="1:4" x14ac:dyDescent="0.3">
      <c r="A14" t="s">
        <v>48</v>
      </c>
      <c r="B14" t="s">
        <v>50</v>
      </c>
      <c r="C14" t="s">
        <v>3</v>
      </c>
    </row>
    <row r="15" spans="1:4" x14ac:dyDescent="0.3">
      <c r="A15" t="s">
        <v>20</v>
      </c>
      <c r="B15" t="s">
        <v>63</v>
      </c>
      <c r="C15">
        <f>参数输入!B11</f>
        <v>500</v>
      </c>
    </row>
    <row r="16" spans="1:4" x14ac:dyDescent="0.3">
      <c r="A16" t="s">
        <v>22</v>
      </c>
      <c r="B16" t="s">
        <v>64</v>
      </c>
      <c r="C16">
        <f>参数输入!B12</f>
        <v>300</v>
      </c>
    </row>
    <row r="17" spans="1:4" x14ac:dyDescent="0.3">
      <c r="A17" t="s">
        <v>65</v>
      </c>
      <c r="B17" t="s">
        <v>66</v>
      </c>
      <c r="C17">
        <f>C15+C16</f>
        <v>800</v>
      </c>
      <c r="D17" t="s">
        <v>9</v>
      </c>
    </row>
    <row r="18" spans="1:4" x14ac:dyDescent="0.3">
      <c r="A18" t="s">
        <v>58</v>
      </c>
      <c r="B18" t="s">
        <v>67</v>
      </c>
      <c r="C18">
        <f>C9</f>
        <v>787.30979326513147</v>
      </c>
    </row>
    <row r="19" spans="1:4" x14ac:dyDescent="0.3">
      <c r="A19" t="s">
        <v>60</v>
      </c>
      <c r="B19" t="s">
        <v>68</v>
      </c>
      <c r="C19">
        <f>C10</f>
        <v>2187.3097932651317</v>
      </c>
    </row>
    <row r="21" spans="1:4" x14ac:dyDescent="0.3">
      <c r="A21" t="s">
        <v>69</v>
      </c>
    </row>
    <row r="23" spans="1:4" x14ac:dyDescent="0.3">
      <c r="A23" t="s">
        <v>70</v>
      </c>
      <c r="B23" t="s">
        <v>71</v>
      </c>
      <c r="C23" t="s">
        <v>72</v>
      </c>
    </row>
    <row r="24" spans="1:4" x14ac:dyDescent="0.3">
      <c r="A24" t="s">
        <v>73</v>
      </c>
      <c r="B24" t="s">
        <v>73</v>
      </c>
      <c r="C24" t="str">
        <f>IF(C17&lt;C9,"是","否")</f>
        <v>否</v>
      </c>
    </row>
    <row r="25" spans="1:4" x14ac:dyDescent="0.3">
      <c r="A25" t="s">
        <v>74</v>
      </c>
      <c r="B25" t="s">
        <v>74</v>
      </c>
      <c r="C25" t="str">
        <f>IF(C17&lt;C10,"是","否")</f>
        <v>是</v>
      </c>
    </row>
    <row r="26" spans="1:4" x14ac:dyDescent="0.3">
      <c r="A26" t="s">
        <v>75</v>
      </c>
      <c r="B26" t="s">
        <v>76</v>
      </c>
      <c r="C26">
        <f>MAX(0,C10-C17)</f>
        <v>1387.3097932651317</v>
      </c>
    </row>
    <row r="27" spans="1:4" x14ac:dyDescent="0.3">
      <c r="A27" t="s">
        <v>77</v>
      </c>
      <c r="B27" t="s">
        <v>78</v>
      </c>
      <c r="C27">
        <f>C15/参数输入!B3</f>
        <v>5</v>
      </c>
    </row>
    <row r="29" spans="1:4" x14ac:dyDescent="0.3">
      <c r="A29" t="s">
        <v>79</v>
      </c>
    </row>
    <row r="31" spans="1:4" x14ac:dyDescent="0.3">
      <c r="A31" t="s">
        <v>80</v>
      </c>
      <c r="B31" t="s">
        <v>81</v>
      </c>
      <c r="C31" t="s">
        <v>82</v>
      </c>
    </row>
    <row r="32" spans="1:4" x14ac:dyDescent="0.3">
      <c r="A32" t="s">
        <v>83</v>
      </c>
      <c r="B32" t="s">
        <v>84</v>
      </c>
      <c r="C32" t="str">
        <f>IF(C17&gt;C10,"🟢 充足","")</f>
        <v/>
      </c>
    </row>
    <row r="33" spans="1:4" x14ac:dyDescent="0.3">
      <c r="A33" t="s">
        <v>85</v>
      </c>
      <c r="B33" t="s">
        <v>86</v>
      </c>
      <c r="C33" t="str">
        <f>IF(AND(C17&lt;=C10,C17&gt;C9),"🟡 建议补货","")</f>
        <v>🟡 建议补货</v>
      </c>
    </row>
    <row r="34" spans="1:4" x14ac:dyDescent="0.3">
      <c r="A34" t="s">
        <v>87</v>
      </c>
      <c r="B34" t="s">
        <v>88</v>
      </c>
      <c r="C34" t="str">
        <f>IF(C17&lt;=C9,"🔴 紧急补货","")</f>
        <v/>
      </c>
    </row>
    <row r="36" spans="1:4" x14ac:dyDescent="0.3">
      <c r="A36" t="s">
        <v>89</v>
      </c>
    </row>
    <row r="38" spans="1:4" x14ac:dyDescent="0.3">
      <c r="A38" t="s">
        <v>48</v>
      </c>
      <c r="B38" t="s">
        <v>49</v>
      </c>
      <c r="C38" t="s">
        <v>50</v>
      </c>
      <c r="D38" t="s">
        <v>3</v>
      </c>
    </row>
    <row r="39" spans="1:4" x14ac:dyDescent="0.3">
      <c r="A39" t="s">
        <v>90</v>
      </c>
      <c r="B39" t="s">
        <v>91</v>
      </c>
      <c r="C39">
        <f>参数输入!B3*365</f>
        <v>36500</v>
      </c>
      <c r="D39" t="s">
        <v>92</v>
      </c>
    </row>
    <row r="40" spans="1:4" x14ac:dyDescent="0.3">
      <c r="A40" t="s">
        <v>34</v>
      </c>
      <c r="B40" t="s">
        <v>93</v>
      </c>
      <c r="C40">
        <f>参数输入!B20</f>
        <v>500</v>
      </c>
      <c r="D40" t="s">
        <v>35</v>
      </c>
    </row>
    <row r="41" spans="1:4" x14ac:dyDescent="0.3">
      <c r="A41" t="s">
        <v>94</v>
      </c>
      <c r="B41" t="s">
        <v>95</v>
      </c>
      <c r="C41">
        <f>参数输入!B5*(参数输入!B21/100)</f>
        <v>7.5</v>
      </c>
      <c r="D41" t="s">
        <v>96</v>
      </c>
    </row>
    <row r="42" spans="1:4" x14ac:dyDescent="0.3">
      <c r="A42" t="s">
        <v>97</v>
      </c>
      <c r="B42" t="s">
        <v>98</v>
      </c>
      <c r="C42">
        <f>ROUND(SQRT(2*C39*C40/C41),0)</f>
        <v>2206</v>
      </c>
      <c r="D42" t="s">
        <v>99</v>
      </c>
    </row>
    <row r="44" spans="1:4" x14ac:dyDescent="0.3">
      <c r="A44" t="s">
        <v>100</v>
      </c>
    </row>
    <row r="46" spans="1:4" x14ac:dyDescent="0.3">
      <c r="A46" t="s">
        <v>101</v>
      </c>
      <c r="B46" t="s">
        <v>49</v>
      </c>
      <c r="C46" t="s">
        <v>50</v>
      </c>
      <c r="D46" t="s">
        <v>12</v>
      </c>
    </row>
    <row r="47" spans="1:4" x14ac:dyDescent="0.3">
      <c r="A47" t="s">
        <v>102</v>
      </c>
      <c r="B47" t="s">
        <v>11</v>
      </c>
      <c r="C47">
        <f>参数输入!B5</f>
        <v>50</v>
      </c>
    </row>
    <row r="48" spans="1:4" x14ac:dyDescent="0.3">
      <c r="A48" t="s">
        <v>103</v>
      </c>
      <c r="B48" t="s">
        <v>104</v>
      </c>
      <c r="C48">
        <f>C40/C42</f>
        <v>0.22665457842248413</v>
      </c>
    </row>
    <row r="49" spans="1:3" x14ac:dyDescent="0.3">
      <c r="A49" t="s">
        <v>105</v>
      </c>
      <c r="B49" t="s">
        <v>106</v>
      </c>
      <c r="C49">
        <f>参数输入!B5*(参数输入!B21/100)/2</f>
        <v>3.75</v>
      </c>
    </row>
    <row r="50" spans="1:3" x14ac:dyDescent="0.3">
      <c r="A50" t="s">
        <v>107</v>
      </c>
      <c r="B50" t="s">
        <v>108</v>
      </c>
      <c r="C50">
        <f>参数输入!B5*(参数输入!B22/100)*(1-参数输入!B16/100)</f>
        <v>4.9175000000000004</v>
      </c>
    </row>
    <row r="51" spans="1:3" x14ac:dyDescent="0.3">
      <c r="A51" t="s">
        <v>109</v>
      </c>
      <c r="B51" t="s">
        <v>110</v>
      </c>
      <c r="C51">
        <f>SUM(C47:C50)</f>
        <v>58.894154578422487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E31" sqref="E31"/>
    </sheetView>
  </sheetViews>
  <sheetFormatPr defaultRowHeight="14" x14ac:dyDescent="0.3"/>
  <sheetData>
    <row r="1" spans="1:8" x14ac:dyDescent="0.3">
      <c r="A1" t="s">
        <v>111</v>
      </c>
    </row>
    <row r="3" spans="1:8" x14ac:dyDescent="0.3">
      <c r="A3" t="s">
        <v>112</v>
      </c>
      <c r="B3" t="s">
        <v>24</v>
      </c>
      <c r="C3" t="s">
        <v>113</v>
      </c>
      <c r="D3" t="s">
        <v>114</v>
      </c>
      <c r="E3" t="s">
        <v>115</v>
      </c>
      <c r="F3" t="s">
        <v>116</v>
      </c>
      <c r="G3" t="s">
        <v>117</v>
      </c>
      <c r="H3" t="s">
        <v>118</v>
      </c>
    </row>
    <row r="4" spans="1:8" x14ac:dyDescent="0.3">
      <c r="A4" t="s">
        <v>119</v>
      </c>
      <c r="B4">
        <v>7</v>
      </c>
      <c r="C4">
        <v>7</v>
      </c>
      <c r="D4">
        <f>参数输入!$B$16*参数输入!$B$4*SQRT(B4)</f>
        <v>87.309793265131489</v>
      </c>
      <c r="E4">
        <f>参数输入!$B$3*C4+D4</f>
        <v>787.30979326513147</v>
      </c>
      <c r="F4">
        <f>ROUND(SQRT(2*参数输入!$B$3*365*参数输入!$B$20/(参数输入!$B$5*参数输入!$B$21/100)),0)</f>
        <v>2206</v>
      </c>
      <c r="G4">
        <f>(F4/2)+D4</f>
        <v>1190.3097932651315</v>
      </c>
      <c r="H4" t="s">
        <v>120</v>
      </c>
    </row>
    <row r="5" spans="1:8" x14ac:dyDescent="0.3">
      <c r="A5" t="s">
        <v>121</v>
      </c>
      <c r="B5">
        <v>14</v>
      </c>
      <c r="C5">
        <v>7</v>
      </c>
      <c r="D5">
        <f>参数输入!$B$16*参数输入!$B$4*SQRT(B5)</f>
        <v>123.47469376354006</v>
      </c>
      <c r="E5">
        <f>参数输入!$B$3*C5+D5</f>
        <v>823.47469376354002</v>
      </c>
      <c r="F5">
        <f>ROUND(SQRT(2*参数输入!$B$3*365*参数输入!$B$20/(参数输入!$B$5*参数输入!$B$21/100)),0)</f>
        <v>2206</v>
      </c>
      <c r="G5">
        <f>(F5/2)+D5</f>
        <v>1226.47469376354</v>
      </c>
      <c r="H5" t="s">
        <v>122</v>
      </c>
    </row>
    <row r="6" spans="1:8" x14ac:dyDescent="0.3">
      <c r="A6" t="s">
        <v>123</v>
      </c>
      <c r="B6">
        <v>21</v>
      </c>
      <c r="C6">
        <v>7</v>
      </c>
      <c r="D6">
        <f>参数输入!$B$16*参数输入!$B$4*SQRT(B6)</f>
        <v>151.22499793354271</v>
      </c>
      <c r="E6">
        <f>参数输入!$B$3*C6+D6</f>
        <v>851.22499793354268</v>
      </c>
      <c r="F6">
        <f>ROUND(SQRT(2*参数输入!$B$3*365*参数输入!$B$20/(参数输入!$B$5*参数输入!$B$21/100)),0)</f>
        <v>2206</v>
      </c>
      <c r="G6">
        <f>(F6/2)+D6</f>
        <v>1254.2249979335427</v>
      </c>
      <c r="H6" t="s">
        <v>124</v>
      </c>
    </row>
    <row r="8" spans="1:8" x14ac:dyDescent="0.3">
      <c r="A8" t="s">
        <v>125</v>
      </c>
    </row>
    <row r="10" spans="1:8" x14ac:dyDescent="0.3">
      <c r="A10" t="s">
        <v>126</v>
      </c>
      <c r="B10" t="s">
        <v>119</v>
      </c>
      <c r="C10" t="s">
        <v>121</v>
      </c>
      <c r="D10" t="s">
        <v>123</v>
      </c>
    </row>
    <row r="11" spans="1:8" x14ac:dyDescent="0.3">
      <c r="A11" t="s">
        <v>114</v>
      </c>
      <c r="B11">
        <f>D4</f>
        <v>87.309793265131489</v>
      </c>
      <c r="C11">
        <f>D5</f>
        <v>123.47469376354006</v>
      </c>
      <c r="D11">
        <f>D6</f>
        <v>151.22499793354271</v>
      </c>
    </row>
    <row r="12" spans="1:8" x14ac:dyDescent="0.3">
      <c r="A12" t="s">
        <v>115</v>
      </c>
      <c r="B12">
        <f>E4</f>
        <v>787.30979326513147</v>
      </c>
      <c r="C12">
        <f>E5</f>
        <v>823.47469376354002</v>
      </c>
      <c r="D12">
        <f>E6</f>
        <v>851.22499793354268</v>
      </c>
    </row>
    <row r="13" spans="1:8" x14ac:dyDescent="0.3">
      <c r="A13" t="s">
        <v>127</v>
      </c>
      <c r="B13">
        <f>F4+参数输入!B12</f>
        <v>2506</v>
      </c>
      <c r="C13">
        <f>F5+参数输入!B12</f>
        <v>2506</v>
      </c>
      <c r="D13">
        <f>F6+参数输入!B12</f>
        <v>2506</v>
      </c>
    </row>
    <row r="14" spans="1:8" x14ac:dyDescent="0.3">
      <c r="A14" t="s">
        <v>128</v>
      </c>
      <c r="B14">
        <f>参数输入!B3*365/G4</f>
        <v>30.664286059410696</v>
      </c>
      <c r="C14">
        <f>参数输入!B3*365/G5</f>
        <v>29.760092226604939</v>
      </c>
      <c r="D14">
        <f>参数输入!B3*365/G6</f>
        <v>29.101636516683442</v>
      </c>
    </row>
    <row r="16" spans="1:8" x14ac:dyDescent="0.3">
      <c r="A16" t="s">
        <v>129</v>
      </c>
    </row>
    <row r="17" spans="1:2" x14ac:dyDescent="0.3">
      <c r="A17" t="s">
        <v>71</v>
      </c>
      <c r="B17" t="s">
        <v>130</v>
      </c>
    </row>
    <row r="18" spans="1:2" x14ac:dyDescent="0.3">
      <c r="A18" t="s">
        <v>131</v>
      </c>
      <c r="B18" t="s">
        <v>132</v>
      </c>
    </row>
    <row r="19" spans="1:2" x14ac:dyDescent="0.3">
      <c r="A19" t="s">
        <v>133</v>
      </c>
      <c r="B19" t="s">
        <v>134</v>
      </c>
    </row>
    <row r="20" spans="1:2" x14ac:dyDescent="0.3">
      <c r="A20" t="s">
        <v>135</v>
      </c>
      <c r="B20" t="s">
        <v>136</v>
      </c>
    </row>
    <row r="21" spans="1:2" x14ac:dyDescent="0.3">
      <c r="A21" t="s">
        <v>137</v>
      </c>
      <c r="B21" t="s">
        <v>138</v>
      </c>
    </row>
    <row r="22" spans="1:2" x14ac:dyDescent="0.3">
      <c r="A22" t="s">
        <v>139</v>
      </c>
      <c r="B22" t="s">
        <v>140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>
      <selection activeCell="I27" sqref="I27"/>
    </sheetView>
  </sheetViews>
  <sheetFormatPr defaultRowHeight="14" x14ac:dyDescent="0.3"/>
  <sheetData>
    <row r="1" spans="1:6" x14ac:dyDescent="0.3">
      <c r="A1" t="s">
        <v>141</v>
      </c>
    </row>
    <row r="3" spans="1:6" x14ac:dyDescent="0.3">
      <c r="A3" t="s">
        <v>142</v>
      </c>
      <c r="B3" t="s">
        <v>5</v>
      </c>
      <c r="C3" t="s">
        <v>56</v>
      </c>
      <c r="D3" t="s">
        <v>58</v>
      </c>
      <c r="E3" t="s">
        <v>143</v>
      </c>
      <c r="F3" t="s">
        <v>144</v>
      </c>
    </row>
    <row r="4" spans="1:6" x14ac:dyDescent="0.3">
      <c r="A4" s="1">
        <v>-0.3</v>
      </c>
      <c r="B4">
        <f>参数输入!$B$3*0.7</f>
        <v>70</v>
      </c>
      <c r="C4">
        <f>参数输入!$B$16*参数输入!$B$4*SQRT(参数输入!$B$14)</f>
        <v>87.309793265131489</v>
      </c>
      <c r="D4">
        <f>B4*参数输入!$B$14+C4</f>
        <v>577.30979326513147</v>
      </c>
      <c r="E4">
        <f>ROUND(SQRT(2*B4*365*参数输入!$B$20/(参数输入!$B$5*参数输入!$B$21/100)),0)</f>
        <v>1846</v>
      </c>
      <c r="F4">
        <f>B4*365/参数输入!$B$11</f>
        <v>51.1</v>
      </c>
    </row>
    <row r="5" spans="1:6" x14ac:dyDescent="0.3">
      <c r="A5" s="1">
        <v>-0.2</v>
      </c>
      <c r="B5">
        <f>参数输入!$B$3*0.8</f>
        <v>80</v>
      </c>
      <c r="C5">
        <f>参数输入!$B$16*参数输入!$B$4*SQRT(参数输入!$B$14)</f>
        <v>87.309793265131489</v>
      </c>
      <c r="D5">
        <f>B5*参数输入!$B$14+C5</f>
        <v>647.30979326513147</v>
      </c>
      <c r="E5">
        <f>ROUND(SQRT(2*B5*365*参数输入!$B$20/(参数输入!$B$5*参数输入!$B$21/100)),0)</f>
        <v>1973</v>
      </c>
      <c r="F5">
        <f>B5*365/参数输入!$B$11</f>
        <v>58.4</v>
      </c>
    </row>
    <row r="6" spans="1:6" x14ac:dyDescent="0.3">
      <c r="A6" s="1">
        <v>0</v>
      </c>
      <c r="B6">
        <f>参数输入!$B$3*1</f>
        <v>100</v>
      </c>
      <c r="C6">
        <f>参数输入!$B$16*参数输入!$B$4*SQRT(参数输入!$B$14)</f>
        <v>87.309793265131489</v>
      </c>
      <c r="D6">
        <f>B6*参数输入!$B$14+C6</f>
        <v>787.30979326513147</v>
      </c>
      <c r="E6">
        <f>ROUND(SQRT(2*B6*365*参数输入!$B$20/(参数输入!$B$5*参数输入!$B$21/100)),0)</f>
        <v>2206</v>
      </c>
      <c r="F6">
        <f>B6*365/参数输入!$B$11</f>
        <v>73</v>
      </c>
    </row>
    <row r="7" spans="1:6" x14ac:dyDescent="0.3">
      <c r="A7" s="1">
        <v>0.2</v>
      </c>
      <c r="B7">
        <f>参数输入!$B$3*1.2</f>
        <v>120</v>
      </c>
      <c r="C7">
        <f>参数输入!$B$16*参数输入!$B$4*SQRT(参数输入!$B$14)</f>
        <v>87.309793265131489</v>
      </c>
      <c r="D7">
        <f>B7*参数输入!$B$14+C7</f>
        <v>927.30979326513147</v>
      </c>
      <c r="E7">
        <f>ROUND(SQRT(2*B7*365*参数输入!$B$20/(参数输入!$B$5*参数输入!$B$21/100)),0)</f>
        <v>2417</v>
      </c>
      <c r="F7">
        <f>B7*365/参数输入!$B$11</f>
        <v>87.6</v>
      </c>
    </row>
    <row r="8" spans="1:6" x14ac:dyDescent="0.3">
      <c r="A8" s="1">
        <v>0.3</v>
      </c>
      <c r="B8">
        <f>参数输入!$B$3*1.3</f>
        <v>130</v>
      </c>
      <c r="C8">
        <f>参数输入!$B$16*参数输入!$B$4*SQRT(参数输入!$B$14)</f>
        <v>87.309793265131489</v>
      </c>
      <c r="D8">
        <f>B8*参数输入!$B$14+C8</f>
        <v>997.30979326513147</v>
      </c>
      <c r="E8">
        <f>ROUND(SQRT(2*B8*365*参数输入!$B$20/(参数输入!$B$5*参数输入!$B$21/100)),0)</f>
        <v>2515</v>
      </c>
      <c r="F8">
        <f>B8*365/参数输入!$B$11</f>
        <v>94.9</v>
      </c>
    </row>
    <row r="10" spans="1:6" x14ac:dyDescent="0.3">
      <c r="A10" t="s">
        <v>145</v>
      </c>
    </row>
    <row r="12" spans="1:6" x14ac:dyDescent="0.3">
      <c r="A12" t="s">
        <v>146</v>
      </c>
      <c r="B12" t="s">
        <v>113</v>
      </c>
      <c r="C12" t="s">
        <v>56</v>
      </c>
      <c r="D12" t="s">
        <v>58</v>
      </c>
      <c r="E12" t="s">
        <v>147</v>
      </c>
    </row>
    <row r="13" spans="1:6" x14ac:dyDescent="0.3">
      <c r="A13" s="1">
        <v>-0.3</v>
      </c>
      <c r="B13">
        <f>参数输入!$B$14*0.7</f>
        <v>4.8999999999999995</v>
      </c>
      <c r="C13">
        <f>参数输入!$B$16*参数输入!$B$4*SQRT(B13)</f>
        <v>73.048613949889557</v>
      </c>
      <c r="D13">
        <f>参数输入!$B$3*B13+C13</f>
        <v>563.0486139498895</v>
      </c>
      <c r="E13" t="s">
        <v>148</v>
      </c>
    </row>
    <row r="14" spans="1:6" x14ac:dyDescent="0.3">
      <c r="A14" s="1">
        <v>-0.2</v>
      </c>
      <c r="B14">
        <f>参数输入!$B$14*0.8</f>
        <v>5.6000000000000005</v>
      </c>
      <c r="C14">
        <f>参数输入!$B$16*参数输入!$B$4*SQRT(B14)</f>
        <v>78.092253136914934</v>
      </c>
      <c r="D14">
        <f>参数输入!$B$3*B14+C14</f>
        <v>638.09225313691491</v>
      </c>
      <c r="E14" t="s">
        <v>149</v>
      </c>
    </row>
    <row r="15" spans="1:6" x14ac:dyDescent="0.3">
      <c r="A15" s="1">
        <v>0</v>
      </c>
      <c r="B15">
        <f>参数输入!$B$14*1</f>
        <v>7</v>
      </c>
      <c r="C15">
        <f>参数输入!$B$16*参数输入!$B$4*SQRT(B15)</f>
        <v>87.309793265131489</v>
      </c>
      <c r="D15">
        <f>参数输入!$B$3*B15+C15</f>
        <v>787.30979326513147</v>
      </c>
      <c r="E15" t="s">
        <v>150</v>
      </c>
    </row>
    <row r="16" spans="1:6" x14ac:dyDescent="0.3">
      <c r="A16" s="1">
        <v>0.2</v>
      </c>
      <c r="B16">
        <f>参数输入!$B$14*1.2</f>
        <v>8.4</v>
      </c>
      <c r="C16">
        <f>参数输入!$B$16*参数输入!$B$4*SQRT(B16)</f>
        <v>95.643086524850304</v>
      </c>
      <c r="D16">
        <f>参数输入!$B$3*B16+C16</f>
        <v>935.64308652485033</v>
      </c>
      <c r="E16" t="s">
        <v>151</v>
      </c>
    </row>
    <row r="17" spans="1:5" x14ac:dyDescent="0.3">
      <c r="A17" s="1">
        <v>0.3</v>
      </c>
      <c r="B17">
        <f>参数输入!$B$14*1.3</f>
        <v>9.1</v>
      </c>
      <c r="C17">
        <f>参数输入!$B$16*参数输入!$B$4*SQRT(B17)</f>
        <v>99.548480651389156</v>
      </c>
      <c r="D17">
        <f>参数输入!$B$3*B17+C17</f>
        <v>1009.5484806513891</v>
      </c>
      <c r="E17" t="s">
        <v>152</v>
      </c>
    </row>
    <row r="19" spans="1:5" x14ac:dyDescent="0.3">
      <c r="A19" t="s">
        <v>153</v>
      </c>
    </row>
    <row r="20" spans="1:5" x14ac:dyDescent="0.3">
      <c r="A20" t="s">
        <v>154</v>
      </c>
      <c r="B20" t="s">
        <v>155</v>
      </c>
      <c r="C20" t="s">
        <v>156</v>
      </c>
    </row>
    <row r="21" spans="1:5" x14ac:dyDescent="0.3">
      <c r="A21" t="s">
        <v>5</v>
      </c>
      <c r="B21" t="s">
        <v>157</v>
      </c>
      <c r="C21" t="s">
        <v>158</v>
      </c>
    </row>
    <row r="22" spans="1:5" x14ac:dyDescent="0.3">
      <c r="A22" t="s">
        <v>27</v>
      </c>
      <c r="B22" t="s">
        <v>157</v>
      </c>
      <c r="C22" t="s">
        <v>159</v>
      </c>
    </row>
    <row r="23" spans="1:5" x14ac:dyDescent="0.3">
      <c r="A23" t="s">
        <v>160</v>
      </c>
      <c r="B23" t="s">
        <v>157</v>
      </c>
      <c r="C23" t="s">
        <v>161</v>
      </c>
    </row>
    <row r="24" spans="1:5" x14ac:dyDescent="0.3">
      <c r="A24" t="s">
        <v>11</v>
      </c>
      <c r="B24" t="s">
        <v>157</v>
      </c>
      <c r="C24" t="s">
        <v>162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1"/>
  <sheetViews>
    <sheetView workbookViewId="0">
      <selection activeCell="Q82" sqref="Q82"/>
    </sheetView>
  </sheetViews>
  <sheetFormatPr defaultRowHeight="14" x14ac:dyDescent="0.3"/>
  <sheetData>
    <row r="1" spans="1:1" x14ac:dyDescent="0.3">
      <c r="A1" t="s">
        <v>163</v>
      </c>
    </row>
    <row r="3" spans="1:1" x14ac:dyDescent="0.3">
      <c r="A3" t="s">
        <v>164</v>
      </c>
    </row>
    <row r="5" spans="1:1" x14ac:dyDescent="0.3">
      <c r="A5" t="s">
        <v>165</v>
      </c>
    </row>
    <row r="6" spans="1:1" x14ac:dyDescent="0.3">
      <c r="A6" t="s">
        <v>166</v>
      </c>
    </row>
    <row r="7" spans="1:1" x14ac:dyDescent="0.3">
      <c r="A7" t="s">
        <v>167</v>
      </c>
    </row>
    <row r="8" spans="1:1" x14ac:dyDescent="0.3">
      <c r="A8" t="s">
        <v>168</v>
      </c>
    </row>
    <row r="10" spans="1:1" x14ac:dyDescent="0.3">
      <c r="A10" t="s">
        <v>169</v>
      </c>
    </row>
    <row r="11" spans="1:1" x14ac:dyDescent="0.3">
      <c r="A11" t="s">
        <v>170</v>
      </c>
    </row>
    <row r="13" spans="1:1" x14ac:dyDescent="0.3">
      <c r="A13" t="s">
        <v>171</v>
      </c>
    </row>
    <row r="14" spans="1:1" x14ac:dyDescent="0.3">
      <c r="A14" t="s">
        <v>172</v>
      </c>
    </row>
    <row r="16" spans="1:1" x14ac:dyDescent="0.3">
      <c r="A16" t="s">
        <v>173</v>
      </c>
    </row>
    <row r="17" spans="1:1" x14ac:dyDescent="0.3">
      <c r="A17" t="s">
        <v>174</v>
      </c>
    </row>
    <row r="19" spans="1:1" x14ac:dyDescent="0.3">
      <c r="A19" t="s">
        <v>175</v>
      </c>
    </row>
    <row r="21" spans="1:1" x14ac:dyDescent="0.3">
      <c r="A21" t="s">
        <v>176</v>
      </c>
    </row>
    <row r="22" spans="1:1" x14ac:dyDescent="0.3">
      <c r="A22" t="s">
        <v>177</v>
      </c>
    </row>
    <row r="23" spans="1:1" x14ac:dyDescent="0.3">
      <c r="A23" t="s">
        <v>178</v>
      </c>
    </row>
    <row r="24" spans="1:1" x14ac:dyDescent="0.3">
      <c r="A24" t="s">
        <v>179</v>
      </c>
    </row>
    <row r="25" spans="1:1" x14ac:dyDescent="0.3">
      <c r="A25" t="s">
        <v>180</v>
      </c>
    </row>
    <row r="27" spans="1:1" x14ac:dyDescent="0.3">
      <c r="A27" t="s">
        <v>181</v>
      </c>
    </row>
    <row r="29" spans="1:1" x14ac:dyDescent="0.3">
      <c r="A29" t="s">
        <v>182</v>
      </c>
    </row>
    <row r="30" spans="1:1" x14ac:dyDescent="0.3">
      <c r="A30" t="s">
        <v>183</v>
      </c>
    </row>
    <row r="31" spans="1:1" x14ac:dyDescent="0.3">
      <c r="A31" t="s">
        <v>184</v>
      </c>
    </row>
    <row r="32" spans="1:1" x14ac:dyDescent="0.3">
      <c r="A32" t="s">
        <v>185</v>
      </c>
    </row>
    <row r="34" spans="1:1" x14ac:dyDescent="0.3">
      <c r="A34" t="s">
        <v>186</v>
      </c>
    </row>
    <row r="35" spans="1:1" x14ac:dyDescent="0.3">
      <c r="A35" t="s">
        <v>187</v>
      </c>
    </row>
    <row r="36" spans="1:1" x14ac:dyDescent="0.3">
      <c r="A36" t="s">
        <v>188</v>
      </c>
    </row>
    <row r="38" spans="1:1" x14ac:dyDescent="0.3">
      <c r="A38" t="s">
        <v>189</v>
      </c>
    </row>
    <row r="39" spans="1:1" x14ac:dyDescent="0.3">
      <c r="A39" t="s">
        <v>190</v>
      </c>
    </row>
    <row r="40" spans="1:1" x14ac:dyDescent="0.3">
      <c r="A40" t="s">
        <v>191</v>
      </c>
    </row>
    <row r="41" spans="1:1" x14ac:dyDescent="0.3">
      <c r="A41" t="s">
        <v>192</v>
      </c>
    </row>
    <row r="43" spans="1:1" x14ac:dyDescent="0.3">
      <c r="A43" t="s">
        <v>193</v>
      </c>
    </row>
    <row r="44" spans="1:1" x14ac:dyDescent="0.3">
      <c r="A44" t="s">
        <v>194</v>
      </c>
    </row>
    <row r="45" spans="1:1" x14ac:dyDescent="0.3">
      <c r="A45" t="s">
        <v>195</v>
      </c>
    </row>
    <row r="47" spans="1:1" x14ac:dyDescent="0.3">
      <c r="A47" t="s">
        <v>196</v>
      </c>
    </row>
    <row r="48" spans="1:1" x14ac:dyDescent="0.3">
      <c r="A48" t="s">
        <v>197</v>
      </c>
    </row>
    <row r="49" spans="1:1" x14ac:dyDescent="0.3">
      <c r="A49" t="s">
        <v>198</v>
      </c>
    </row>
    <row r="51" spans="1:1" x14ac:dyDescent="0.3">
      <c r="A51" t="s">
        <v>199</v>
      </c>
    </row>
    <row r="53" spans="1:1" x14ac:dyDescent="0.3">
      <c r="A53" t="s">
        <v>200</v>
      </c>
    </row>
    <row r="54" spans="1:1" x14ac:dyDescent="0.3">
      <c r="A54" t="s">
        <v>201</v>
      </c>
    </row>
    <row r="55" spans="1:1" x14ac:dyDescent="0.3">
      <c r="A55" t="s">
        <v>202</v>
      </c>
    </row>
    <row r="56" spans="1:1" x14ac:dyDescent="0.3">
      <c r="A56" t="s">
        <v>201</v>
      </c>
    </row>
    <row r="57" spans="1:1" x14ac:dyDescent="0.3">
      <c r="A57" t="s">
        <v>203</v>
      </c>
    </row>
    <row r="58" spans="1:1" x14ac:dyDescent="0.3">
      <c r="A58" t="s">
        <v>201</v>
      </c>
    </row>
    <row r="59" spans="1:1" x14ac:dyDescent="0.3">
      <c r="A59" t="s">
        <v>204</v>
      </c>
    </row>
    <row r="60" spans="1:1" x14ac:dyDescent="0.3">
      <c r="A60" t="s">
        <v>205</v>
      </c>
    </row>
    <row r="61" spans="1:1" x14ac:dyDescent="0.3">
      <c r="A61" t="s">
        <v>206</v>
      </c>
    </row>
    <row r="62" spans="1:1" x14ac:dyDescent="0.3">
      <c r="A62" t="s">
        <v>201</v>
      </c>
    </row>
    <row r="63" spans="1:1" x14ac:dyDescent="0.3">
      <c r="A63" t="s">
        <v>207</v>
      </c>
    </row>
    <row r="64" spans="1:1" x14ac:dyDescent="0.3">
      <c r="A64" t="s">
        <v>201</v>
      </c>
    </row>
    <row r="65" spans="1:1" x14ac:dyDescent="0.3">
      <c r="A65" t="s">
        <v>208</v>
      </c>
    </row>
    <row r="66" spans="1:1" x14ac:dyDescent="0.3">
      <c r="A66" t="s">
        <v>201</v>
      </c>
    </row>
    <row r="67" spans="1:1" x14ac:dyDescent="0.3">
      <c r="A67" t="s">
        <v>209</v>
      </c>
    </row>
    <row r="69" spans="1:1" x14ac:dyDescent="0.3">
      <c r="A69" t="s">
        <v>210</v>
      </c>
    </row>
    <row r="71" spans="1:1" x14ac:dyDescent="0.3">
      <c r="A71" t="s">
        <v>211</v>
      </c>
    </row>
    <row r="72" spans="1:1" x14ac:dyDescent="0.3">
      <c r="A72" t="s">
        <v>212</v>
      </c>
    </row>
    <row r="73" spans="1:1" x14ac:dyDescent="0.3">
      <c r="A73" t="s">
        <v>213</v>
      </c>
    </row>
    <row r="74" spans="1:1" x14ac:dyDescent="0.3">
      <c r="A74" t="s">
        <v>214</v>
      </c>
    </row>
    <row r="75" spans="1:1" x14ac:dyDescent="0.3">
      <c r="A75" t="s">
        <v>215</v>
      </c>
    </row>
    <row r="77" spans="1:1" x14ac:dyDescent="0.3">
      <c r="A77" t="s">
        <v>216</v>
      </c>
    </row>
    <row r="79" spans="1:1" x14ac:dyDescent="0.3">
      <c r="A79" t="s">
        <v>217</v>
      </c>
    </row>
    <row r="80" spans="1:1" x14ac:dyDescent="0.3">
      <c r="A80" t="s">
        <v>218</v>
      </c>
    </row>
    <row r="81" spans="1:1" x14ac:dyDescent="0.3">
      <c r="A81" t="s">
        <v>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参数输入</vt:lpstr>
      <vt:lpstr>补货计算</vt:lpstr>
      <vt:lpstr>策略对比</vt:lpstr>
      <vt:lpstr>敏感度分析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v_gynguo</dc:creator>
  <cp:lastModifiedBy>T195238</cp:lastModifiedBy>
  <dcterms:created xsi:type="dcterms:W3CDTF">2015-06-05T18:19:34Z</dcterms:created>
  <dcterms:modified xsi:type="dcterms:W3CDTF">2026-05-27T09:18:13Z</dcterms:modified>
</cp:coreProperties>
</file>