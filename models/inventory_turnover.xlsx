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溜溜球\简\策略模型\"/>
    </mc:Choice>
  </mc:AlternateContent>
  <xr:revisionPtr revIDLastSave="0" documentId="13_ncr:1_{C3CFA09C-EC4F-4316-BDF4-C64FED75AEB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参数输入" sheetId="1" r:id="rId1"/>
    <sheet name="周转计算" sheetId="2" r:id="rId2"/>
    <sheet name="策略对比" sheetId="3" r:id="rId3"/>
    <sheet name="敏感度分析" sheetId="4" r:id="rId4"/>
    <sheet name="使用说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4" l="1"/>
  <c r="C26" i="4"/>
  <c r="B26" i="4"/>
  <c r="D25" i="4"/>
  <c r="C25" i="4"/>
  <c r="B25" i="4"/>
  <c r="D24" i="4"/>
  <c r="C24" i="4"/>
  <c r="B24" i="4"/>
  <c r="C23" i="4"/>
  <c r="D23" i="4" s="1"/>
  <c r="B23" i="4"/>
  <c r="C22" i="4"/>
  <c r="D22" i="4" s="1"/>
  <c r="B22" i="4"/>
  <c r="B17" i="4"/>
  <c r="E17" i="4" s="1"/>
  <c r="B16" i="4"/>
  <c r="E16" i="4" s="1"/>
  <c r="B15" i="4"/>
  <c r="C15" i="4" s="1"/>
  <c r="D15" i="4" s="1"/>
  <c r="B14" i="4"/>
  <c r="E14" i="4" s="1"/>
  <c r="B13" i="4"/>
  <c r="C13" i="4" s="1"/>
  <c r="D13" i="4" s="1"/>
  <c r="C8" i="4"/>
  <c r="D8" i="4" s="1"/>
  <c r="E8" i="4" s="1"/>
  <c r="B8" i="4"/>
  <c r="C7" i="4"/>
  <c r="B7" i="4"/>
  <c r="D7" i="4" s="1"/>
  <c r="E7" i="4" s="1"/>
  <c r="C6" i="4"/>
  <c r="B6" i="4"/>
  <c r="D6" i="4" s="1"/>
  <c r="E6" i="4" s="1"/>
  <c r="C5" i="4"/>
  <c r="B5" i="4"/>
  <c r="D5" i="4" s="1"/>
  <c r="E5" i="4" s="1"/>
  <c r="C4" i="4"/>
  <c r="B4" i="4"/>
  <c r="D4" i="4" s="1"/>
  <c r="E4" i="4" s="1"/>
  <c r="C30" i="3"/>
  <c r="D30" i="3" s="1"/>
  <c r="D13" i="3"/>
  <c r="D12" i="3"/>
  <c r="D11" i="3"/>
  <c r="C63" i="2"/>
  <c r="C65" i="2" s="1"/>
  <c r="C62" i="2"/>
  <c r="C61" i="2"/>
  <c r="C60" i="2"/>
  <c r="B55" i="2"/>
  <c r="C54" i="2"/>
  <c r="C53" i="2"/>
  <c r="C52" i="2"/>
  <c r="C51" i="2"/>
  <c r="B39" i="2"/>
  <c r="D38" i="2"/>
  <c r="E38" i="2" s="1"/>
  <c r="D37" i="2"/>
  <c r="E37" i="2" s="1"/>
  <c r="D36" i="2"/>
  <c r="E36" i="2" s="1"/>
  <c r="D35" i="2"/>
  <c r="E35" i="2" s="1"/>
  <c r="D34" i="2"/>
  <c r="D39" i="2" s="1"/>
  <c r="D33" i="2"/>
  <c r="D32" i="2"/>
  <c r="E32" i="2" s="1"/>
  <c r="D31" i="2"/>
  <c r="E31" i="2" s="1"/>
  <c r="D30" i="2"/>
  <c r="E30" i="2" s="1"/>
  <c r="D29" i="2"/>
  <c r="E29" i="2" s="1"/>
  <c r="B24" i="2"/>
  <c r="C16" i="2"/>
  <c r="C14" i="2"/>
  <c r="C13" i="2"/>
  <c r="C15" i="2" s="1"/>
  <c r="C17" i="2" s="1"/>
  <c r="C5" i="2"/>
  <c r="C4" i="2"/>
  <c r="C6" i="2" s="1"/>
  <c r="C8" i="2" l="1"/>
  <c r="C7" i="2"/>
  <c r="G23" i="2"/>
  <c r="C28" i="3"/>
  <c r="D28" i="3" s="1"/>
  <c r="B23" i="2"/>
  <c r="C27" i="3"/>
  <c r="D27" i="3" s="1"/>
  <c r="F32" i="2"/>
  <c r="G32" i="2" s="1"/>
  <c r="F30" i="2"/>
  <c r="G30" i="2" s="1"/>
  <c r="F31" i="2"/>
  <c r="G31" i="2" s="1"/>
  <c r="F29" i="2"/>
  <c r="G29" i="2" s="1"/>
  <c r="C14" i="4"/>
  <c r="D14" i="4" s="1"/>
  <c r="E15" i="4"/>
  <c r="C16" i="4"/>
  <c r="D16" i="4" s="1"/>
  <c r="C17" i="4"/>
  <c r="D17" i="4" s="1"/>
  <c r="E13" i="4"/>
  <c r="E34" i="2"/>
  <c r="E33" i="2"/>
  <c r="F36" i="2" s="1"/>
  <c r="G36" i="2" s="1"/>
  <c r="F37" i="2" l="1"/>
  <c r="G37" i="2" s="1"/>
  <c r="F38" i="2"/>
  <c r="G38" i="2" s="1"/>
  <c r="F35" i="2"/>
  <c r="G35" i="2" s="1"/>
  <c r="F34" i="2"/>
  <c r="G34" i="2" s="1"/>
  <c r="C45" i="2"/>
  <c r="C46" i="2"/>
  <c r="B44" i="2"/>
  <c r="C44" i="2"/>
  <c r="B45" i="2"/>
  <c r="B46" i="2"/>
  <c r="F33" i="2"/>
  <c r="G33" i="2" s="1"/>
  <c r="C29" i="3"/>
  <c r="D29" i="3" s="1"/>
  <c r="G22" i="2"/>
  <c r="B22" i="2"/>
</calcChain>
</file>

<file path=xl/sharedStrings.xml><?xml version="1.0" encoding="utf-8"?>
<sst xmlns="http://schemas.openxmlformats.org/spreadsheetml/2006/main" count="447" uniqueCount="358">
  <si>
    <t>【基础业务参数】</t>
  </si>
  <si>
    <t>参数名称</t>
  </si>
  <si>
    <t>参数值</t>
  </si>
  <si>
    <t>单位</t>
  </si>
  <si>
    <t>备注</t>
  </si>
  <si>
    <t>日均销量</t>
  </si>
  <si>
    <t>件/天</t>
  </si>
  <si>
    <t>过去30天平均值</t>
  </si>
  <si>
    <t>月销量</t>
  </si>
  <si>
    <t>件/月</t>
  </si>
  <si>
    <t>日均×30</t>
  </si>
  <si>
    <t>产品单价</t>
  </si>
  <si>
    <t>元/件</t>
  </si>
  <si>
    <t>产品成本价</t>
  </si>
  <si>
    <t>毛利率</t>
  </si>
  <si>
    <t>%</t>
  </si>
  <si>
    <t>售价=单价÷(1-毛利率)</t>
  </si>
  <si>
    <t>资金成本率</t>
  </si>
  <si>
    <t>年化</t>
  </si>
  <si>
    <t>【库存参数】</t>
  </si>
  <si>
    <t>当前库存</t>
  </si>
  <si>
    <t>件</t>
  </si>
  <si>
    <t>在途库存</t>
  </si>
  <si>
    <t>安全库存</t>
  </si>
  <si>
    <t>补货周期</t>
  </si>
  <si>
    <t>天</t>
  </si>
  <si>
    <t>目标周转天数</t>
  </si>
  <si>
    <t>行业基准</t>
  </si>
  <si>
    <t>【成本参数】</t>
  </si>
  <si>
    <t>仓储费</t>
  </si>
  <si>
    <t>元/件/月</t>
  </si>
  <si>
    <t>持有成本率</t>
  </si>
  <si>
    <t>占产品单价比例</t>
  </si>
  <si>
    <t>缺货成本率</t>
  </si>
  <si>
    <t>滞销定义天数</t>
  </si>
  <si>
    <t>超过算滞销</t>
  </si>
  <si>
    <t>【分类标准】</t>
  </si>
  <si>
    <t>A类标准</t>
  </si>
  <si>
    <t>B类标准</t>
  </si>
  <si>
    <t>C类标准</t>
  </si>
  <si>
    <t>销售额占比</t>
  </si>
  <si>
    <t>周转天数</t>
  </si>
  <si>
    <t>&lt;30天</t>
  </si>
  <si>
    <t>30-60天</t>
  </si>
  <si>
    <t>&gt;60天</t>
  </si>
  <si>
    <t>【库存周转率计算】</t>
  </si>
  <si>
    <t>计算项</t>
  </si>
  <si>
    <t>公式</t>
  </si>
  <si>
    <t>数值</t>
  </si>
  <si>
    <t>月销量（参数引用）</t>
  </si>
  <si>
    <t>月平均库存</t>
  </si>
  <si>
    <t>(期初 + 期末) ÷ 2</t>
  </si>
  <si>
    <t>库存周转率(次)</t>
  </si>
  <si>
    <t>月销量 ÷ 月平均库存</t>
  </si>
  <si>
    <t>次/月</t>
  </si>
  <si>
    <t>库存周转天数</t>
  </si>
  <si>
    <t>30 ÷ 周转率</t>
  </si>
  <si>
    <t>年库存周转率</t>
  </si>
  <si>
    <t>月周转率 × 12</t>
  </si>
  <si>
    <t>次/年</t>
  </si>
  <si>
    <t>【可卖天数计算】</t>
  </si>
  <si>
    <t>当前库存（参数引用）</t>
  </si>
  <si>
    <t>在途库存（参数引用）</t>
  </si>
  <si>
    <t>有效库存</t>
  </si>
  <si>
    <t>当前库存 + 在途库存</t>
  </si>
  <si>
    <t>日均销量（参数引用）</t>
  </si>
  <si>
    <t>可卖天数</t>
  </si>
  <si>
    <t>有效库存 ÷ 日均销量</t>
  </si>
  <si>
    <t>【库存健康度评估】</t>
  </si>
  <si>
    <t>评估项</t>
  </si>
  <si>
    <t>当前值</t>
  </si>
  <si>
    <t>优秀</t>
  </si>
  <si>
    <t>良好</t>
  </si>
  <si>
    <t>警戒</t>
  </si>
  <si>
    <t>严重</t>
  </si>
  <si>
    <t>当前等级</t>
  </si>
  <si>
    <t>&lt;30</t>
  </si>
  <si>
    <t>30-45</t>
  </si>
  <si>
    <t>45-60</t>
  </si>
  <si>
    <t>&gt;60</t>
  </si>
  <si>
    <t>&gt;30</t>
  </si>
  <si>
    <t>20-30</t>
  </si>
  <si>
    <t>10-20天</t>
  </si>
  <si>
    <t>&lt;10</t>
  </si>
  <si>
    <t>库存结构</t>
  </si>
  <si>
    <t>-</t>
  </si>
  <si>
    <t>【ABC分类计算】</t>
  </si>
  <si>
    <t>SKU</t>
  </si>
  <si>
    <t>单价</t>
  </si>
  <si>
    <t>月销售额</t>
  </si>
  <si>
    <t>累计占比</t>
  </si>
  <si>
    <t>分类</t>
  </si>
  <si>
    <t>SKU-A</t>
  </si>
  <si>
    <t>SKU-B</t>
  </si>
  <si>
    <t>SKU-C</t>
  </si>
  <si>
    <t>SKU-D</t>
  </si>
  <si>
    <t>SKU-E</t>
  </si>
  <si>
    <t>SKU-F</t>
  </si>
  <si>
    <t>SKU-G</t>
  </si>
  <si>
    <t>SKU-H</t>
  </si>
  <si>
    <t>SKU-I</t>
  </si>
  <si>
    <t>SKU-J</t>
  </si>
  <si>
    <t>合计</t>
  </si>
  <si>
    <t>【ABC分类策略】</t>
  </si>
  <si>
    <t>数量占比</t>
  </si>
  <si>
    <t>管理策略</t>
  </si>
  <si>
    <t>库存水平</t>
  </si>
  <si>
    <t>A类</t>
  </si>
  <si>
    <t>重点管理、高频盘点</t>
  </si>
  <si>
    <t>低库存、快周转</t>
  </si>
  <si>
    <t>B类</t>
  </si>
  <si>
    <t>常规管理</t>
  </si>
  <si>
    <t>中等库存</t>
  </si>
  <si>
    <t>C类</t>
  </si>
  <si>
    <t>简单管理、批量订货</t>
  </si>
  <si>
    <t>高库存、低周转</t>
  </si>
  <si>
    <t>【库龄分析】</t>
  </si>
  <si>
    <t>库龄区间</t>
  </si>
  <si>
    <t>库存数量</t>
  </si>
  <si>
    <t>占比</t>
  </si>
  <si>
    <t>处理建议</t>
  </si>
  <si>
    <t>0-30天</t>
  </si>
  <si>
    <t>正常销售</t>
  </si>
  <si>
    <t>31-60天</t>
  </si>
  <si>
    <t>关注动销</t>
  </si>
  <si>
    <t>61-90天</t>
  </si>
  <si>
    <t>促销准备</t>
  </si>
  <si>
    <t>90天以上</t>
  </si>
  <si>
    <t>清理滞销</t>
  </si>
  <si>
    <t>【持有成本计算】</t>
  </si>
  <si>
    <t>成本项</t>
  </si>
  <si>
    <t>公式说明</t>
  </si>
  <si>
    <t>库存数量 × 仓储费</t>
  </si>
  <si>
    <t>元/月</t>
  </si>
  <si>
    <t>资金占用成本</t>
  </si>
  <si>
    <t>库存数量 × 单价 × 资金成本率 ÷ 12</t>
  </si>
  <si>
    <t>持有成本(管理/损耗)</t>
  </si>
  <si>
    <t>库存数量 × 单价 × 持有成本率 ÷ 12</t>
  </si>
  <si>
    <t>【月持有总成本】</t>
  </si>
  <si>
    <t>仓储费 + 资金占用 + 持有成本</t>
  </si>
  <si>
    <t>【单件持有成本】</t>
  </si>
  <si>
    <t>月持有总成本 ÷ 库存数量</t>
  </si>
  <si>
    <t>【库存周转策略对比】</t>
  </si>
  <si>
    <t>策略名称</t>
  </si>
  <si>
    <t>安全库存水平</t>
  </si>
  <si>
    <t>补货频率</t>
  </si>
  <si>
    <t>适用场景</t>
  </si>
  <si>
    <t>优点</t>
  </si>
  <si>
    <t>缺点</t>
  </si>
  <si>
    <t>高周转策略</t>
  </si>
  <si>
    <t>15天</t>
  </si>
  <si>
    <t>低</t>
  </si>
  <si>
    <t>高频次</t>
  </si>
  <si>
    <t>高毛利、快消品</t>
  </si>
  <si>
    <t>资金占用少</t>
  </si>
  <si>
    <t>断货风险高</t>
  </si>
  <si>
    <t>平衡策略</t>
  </si>
  <si>
    <t>30天</t>
  </si>
  <si>
    <t>中</t>
  </si>
  <si>
    <t>中频次</t>
  </si>
  <si>
    <t>常规产品</t>
  </si>
  <si>
    <t>风险可控</t>
  </si>
  <si>
    <t>资金占用中等</t>
  </si>
  <si>
    <t>低周转策略</t>
  </si>
  <si>
    <t>60天</t>
  </si>
  <si>
    <t>高</t>
  </si>
  <si>
    <t>低频次</t>
  </si>
  <si>
    <t>低毛利、大件</t>
  </si>
  <si>
    <t>供应稳定</t>
  </si>
  <si>
    <t>资金占用高</t>
  </si>
  <si>
    <t>【不同品类策略对比】</t>
  </si>
  <si>
    <t>品类</t>
  </si>
  <si>
    <t>推荐策略</t>
  </si>
  <si>
    <t>管理重点</t>
  </si>
  <si>
    <t>A类(高价值)</t>
  </si>
  <si>
    <t>精准预测、高频补货</t>
  </si>
  <si>
    <t>B类(常规)</t>
  </si>
  <si>
    <t>定期复盘</t>
  </si>
  <si>
    <t>C类(低价值)</t>
  </si>
  <si>
    <t>批量采购、减少精力</t>
  </si>
  <si>
    <t>【库存优化方案对比】</t>
  </si>
  <si>
    <t>方案</t>
  </si>
  <si>
    <t>措施</t>
  </si>
  <si>
    <t>预期效果</t>
  </si>
  <si>
    <t>实施难度</t>
  </si>
  <si>
    <t>ROI</t>
  </si>
  <si>
    <t>方案1</t>
  </si>
  <si>
    <t>ABC分类管理</t>
  </si>
  <si>
    <t>周转提升20%</t>
  </si>
  <si>
    <t>方案2</t>
  </si>
  <si>
    <t>滞销品清理</t>
  </si>
  <si>
    <t>释放资金15%</t>
  </si>
  <si>
    <t>方案3</t>
  </si>
  <si>
    <t>安全库存优化</t>
  </si>
  <si>
    <t>降低库存10%</t>
  </si>
  <si>
    <t>方案4</t>
  </si>
  <si>
    <t>补货频率调整</t>
  </si>
  <si>
    <t>周转提升15%</t>
  </si>
  <si>
    <t>方案5</t>
  </si>
  <si>
    <t>供应商协同</t>
  </si>
  <si>
    <t>周转提升25%</t>
  </si>
  <si>
    <t>【当前库存问题诊断】</t>
  </si>
  <si>
    <t>问题类型</t>
  </si>
  <si>
    <t>判断标准</t>
  </si>
  <si>
    <t>是否有问题</t>
  </si>
  <si>
    <t>建议</t>
  </si>
  <si>
    <t>库存过高</t>
  </si>
  <si>
    <t>可卖天数&gt;45天</t>
  </si>
  <si>
    <t>清理滞销、停止补货</t>
  </si>
  <si>
    <t>库存不足</t>
  </si>
  <si>
    <t>可卖天数&lt;10天</t>
  </si>
  <si>
    <t>紧急补货</t>
  </si>
  <si>
    <t>周转过慢</t>
  </si>
  <si>
    <t>周转天数&gt;60天</t>
  </si>
  <si>
    <t>分析原因、促销</t>
  </si>
  <si>
    <t>滞销占比</t>
  </si>
  <si>
    <t>90天以上库存&gt;20%</t>
  </si>
  <si>
    <t>清仓处理</t>
  </si>
  <si>
    <t>【销量波动对周转的影响】</t>
  </si>
  <si>
    <t>销量变化</t>
  </si>
  <si>
    <t>平均库存</t>
  </si>
  <si>
    <t>周转率(次)</t>
  </si>
  <si>
    <t>影响说明</t>
  </si>
  <si>
    <t>销量下降，周转变慢</t>
  </si>
  <si>
    <t>基准</t>
  </si>
  <si>
    <t>销量上升，周转加快</t>
  </si>
  <si>
    <t>【库存水平对周转的影响】</t>
  </si>
  <si>
    <t>库存变化</t>
  </si>
  <si>
    <t>资金占用(元)</t>
  </si>
  <si>
    <t>【周转天数优化目标分析】</t>
  </si>
  <si>
    <t>所需月销量</t>
  </si>
  <si>
    <t>所需平均库存</t>
  </si>
  <si>
    <t>库存调整幅度</t>
  </si>
  <si>
    <t>20天</t>
  </si>
  <si>
    <t>增加销量或降库存</t>
  </si>
  <si>
    <t>25天</t>
  </si>
  <si>
    <t>适度优化</t>
  </si>
  <si>
    <t>当前基准</t>
  </si>
  <si>
    <t>35天</t>
  </si>
  <si>
    <t>可接受范围</t>
  </si>
  <si>
    <t>40天</t>
  </si>
  <si>
    <t>需要优化</t>
  </si>
  <si>
    <t>【敏感度结论】</t>
  </si>
  <si>
    <t>敏感因素</t>
  </si>
  <si>
    <t>影响程度</t>
  </si>
  <si>
    <t>控制建议</t>
  </si>
  <si>
    <t>销量波动</t>
  </si>
  <si>
    <t>每周更新预测，动态调整库存</t>
  </si>
  <si>
    <t>优化供应链，缩短周期</t>
  </si>
  <si>
    <t>采购批量</t>
  </si>
  <si>
    <t>用EOQ模型计算最优批量</t>
  </si>
  <si>
    <t>产品生命周期</t>
  </si>
  <si>
    <t>新品少备货，衰退期清库存</t>
  </si>
  <si>
    <t>季节性</t>
  </si>
  <si>
    <t>提前2个月调整安全库存</t>
  </si>
  <si>
    <t>【库存周转策略模型使用说明】</t>
  </si>
  <si>
    <t>一、模型核心逻辑</t>
  </si>
  <si>
    <t>本模型基于库存周转率、可卖天数、ABC分类等指标，</t>
  </si>
  <si>
    <t>评估库存健康度，提供不同品类的库存管理策略，</t>
  </si>
  <si>
    <t>帮助优化库存水平，提高资金使用效率。</t>
  </si>
  <si>
    <t>二、核心指标定义</t>
  </si>
  <si>
    <t>1. 库存周转率 = 月销量 ÷ 月平均库存</t>
  </si>
  <si>
    <t xml:space="preserve">   - 衡量库存流动速度</t>
  </si>
  <si>
    <t xml:space="preserve">   - 越高越好，说明周转快</t>
  </si>
  <si>
    <t>2. 库存周转天数 = 30 ÷ 库存周转率</t>
  </si>
  <si>
    <t xml:space="preserve">   - 从入库到卖出的平均天数</t>
  </si>
  <si>
    <t xml:space="preserve">   - 越低越好</t>
  </si>
  <si>
    <t>3. 可卖天数 = 当前库存 ÷ 日均销量</t>
  </si>
  <si>
    <t xml:space="preserve">   - 现有库存还能卖多少天</t>
  </si>
  <si>
    <t xml:space="preserve">   - 过高积压，过低断货风险</t>
  </si>
  <si>
    <t>4. ABC分类</t>
  </si>
  <si>
    <t xml:space="preserve">   - A类：销售额前70%，重点管理</t>
  </si>
  <si>
    <t xml:space="preserve">   - B类：销售额70%-90%，常规管理</t>
  </si>
  <si>
    <t xml:space="preserve">   - C类：销售额90%-100%，简单管理</t>
  </si>
  <si>
    <t>三、库存健康度标准</t>
  </si>
  <si>
    <t>| 等级 | 周转天数 | 可卖天数 | 状态 |</t>
  </si>
  <si>
    <t>|------|----------|----------|------|</t>
  </si>
  <si>
    <t>| 🟢 优秀 | &lt;30天 | &gt;30天 | 健康 |</t>
  </si>
  <si>
    <t>| 🟡 良好 | 30-45天 | 20-30天 | 正常 |</t>
  </si>
  <si>
    <t>| 🟠 警戒 | 45-60天 | 10-20天 | 关注 |</t>
  </si>
  <si>
    <t>| 🔴 严重 | &gt;60天 | &lt;10天 | 紧急处理 |</t>
  </si>
  <si>
    <t>四、三种库存策略</t>
  </si>
  <si>
    <t>1. 高周转策略</t>
  </si>
  <si>
    <t xml:space="preserve">   - 目标周转天数：15天</t>
  </si>
  <si>
    <t xml:space="preserve">   - 安全库存：低</t>
  </si>
  <si>
    <t xml:space="preserve">   - 适用：高毛利、快消品、A类产品</t>
  </si>
  <si>
    <t xml:space="preserve">   - 优点：资金占用少</t>
  </si>
  <si>
    <t xml:space="preserve">   - 缺点：断货风险高</t>
  </si>
  <si>
    <t>2. 平衡策略（推荐）</t>
  </si>
  <si>
    <t xml:space="preserve">   - 目标周转天数：30天</t>
  </si>
  <si>
    <t xml:space="preserve">   - 安全库存：中</t>
  </si>
  <si>
    <t xml:space="preserve">   - 适用：常规产品、B类产品</t>
  </si>
  <si>
    <t xml:space="preserve">   - 优点：风险可控</t>
  </si>
  <si>
    <t>3. 低周转策略</t>
  </si>
  <si>
    <t xml:space="preserve">   - 目标周转天数：60天</t>
  </si>
  <si>
    <t xml:space="preserve">   - 安全库存：高</t>
  </si>
  <si>
    <t xml:space="preserve">   - 适用：低毛利、大件、C类产品</t>
  </si>
  <si>
    <t xml:space="preserve">   - 优点：供应稳定</t>
  </si>
  <si>
    <t xml:space="preserve">   - 缺点：资金占用高</t>
  </si>
  <si>
    <t>五、使用步骤</t>
  </si>
  <si>
    <t>1. 在【参数输入】Sheet填写基础参数</t>
  </si>
  <si>
    <t xml:space="preserve">   - 日均销量、产品单价</t>
  </si>
  <si>
    <t xml:space="preserve">   - 当前库存、在途库存</t>
  </si>
  <si>
    <t>2. 查看【周转计算】Sheet</t>
  </si>
  <si>
    <t xml:space="preserve">   - 自动计算周转率、周转天数</t>
  </si>
  <si>
    <t xml:space="preserve">   - 查看库存健康度评估</t>
  </si>
  <si>
    <t>3. 检查ABC分类</t>
  </si>
  <si>
    <t xml:space="preserve">   - 确认产品属于哪一类</t>
  </si>
  <si>
    <t xml:space="preserve">   - 按分类采用对应策略</t>
  </si>
  <si>
    <t>4. 查看库龄分析</t>
  </si>
  <si>
    <t xml:space="preserve">   - 关注90天以上滞销库存</t>
  </si>
  <si>
    <t xml:space="preserve">   - 及时清理</t>
  </si>
  <si>
    <t>5. 在【策略对比】Sheet选择策略</t>
  </si>
  <si>
    <t xml:space="preserve">   - 根据产品特点选择</t>
  </si>
  <si>
    <t xml:space="preserve">   - 参考敏感度分析结果</t>
  </si>
  <si>
    <t>六、库存优化措施</t>
  </si>
  <si>
    <t>| 问题 | 措施 | 优先级 |</t>
  </si>
  <si>
    <t>|------|------|--------|</t>
  </si>
  <si>
    <t>| 周转过慢 | 促销、捆绑销售、退货 | 高 |</t>
  </si>
  <si>
    <t>| 库存过高 | 停止补货、清仓 | 高 |</t>
  </si>
  <si>
    <t>| 断货风险 | 增加安全库存、加急补货 | 高 |</t>
  </si>
  <si>
    <t>| 滞销品 | 打折、买赠、捐赠 | 中 |</t>
  </si>
  <si>
    <t>| A类缺货 | 提高预测精度、增加备货 | 高 |</t>
  </si>
  <si>
    <t>七、决策流程图</t>
  </si>
  <si>
    <t>开始</t>
  </si>
  <si>
    <t xml:space="preserve">  ↓</t>
  </si>
  <si>
    <t>计算当前周转天数和可卖天数</t>
  </si>
  <si>
    <t>判断库存健康度</t>
  </si>
  <si>
    <t>🟢 健康 → 维持当前策略</t>
  </si>
  <si>
    <t>🟡 正常 → 关注，定期复盘</t>
  </si>
  <si>
    <t>🟠 警戒 → 分析原因，准备优化</t>
  </si>
  <si>
    <t>🔴 严重 → 立即采取措施</t>
  </si>
  <si>
    <t>按ABC分类采取不同策略</t>
  </si>
  <si>
    <t>A类 → 高周转策略（精准预测）</t>
  </si>
  <si>
    <t>B类 → 平衡策略（定期复盘）</t>
  </si>
  <si>
    <t>C类 → 低周转策略（批量采购）</t>
  </si>
  <si>
    <t>执行优化措施</t>
  </si>
  <si>
    <t>每周复盘，持续改进</t>
  </si>
  <si>
    <t>八、注意事项</t>
  </si>
  <si>
    <t>⚠️ 周转天数不是越低越好，过低可能断货</t>
  </si>
  <si>
    <t>⚠️ 不同行业周转标准不同，要和行业对比</t>
  </si>
  <si>
    <t>⚠️ 季节性产品要提前备货，旺季前周转会暂时变慢</t>
  </si>
  <si>
    <t>⚠️ 新品可以适当放宽周转标准</t>
  </si>
  <si>
    <t>⚠️ 滞销品要及时处理，避免长期仓储费</t>
  </si>
  <si>
    <t>九、计算公式汇总</t>
  </si>
  <si>
    <t>| 公式 | 说明 |</t>
  </si>
  <si>
    <t>|------|------|</t>
  </si>
  <si>
    <t>| 库存周转率 = 月销量 ÷ 月平均库存 | 核心指标 |</t>
  </si>
  <si>
    <t>| 库存周转天数 = 30 ÷ 周转率 | 管理常用 |</t>
  </si>
  <si>
    <t>| 可卖天数 = 当前库存 ÷ 日均销量 | 补货参考 |</t>
  </si>
  <si>
    <t>| 持有成本 = 库存金额 × 持有成本率 | 成本核算 |</t>
  </si>
  <si>
    <t>| 缺货成本 = 缺货量 × 产品单价 × 缺货成本率 | 风险评估 |</t>
  </si>
  <si>
    <t>十、模型维护</t>
  </si>
  <si>
    <t>📅 每日：更新销量、库存</t>
  </si>
  <si>
    <t>📅 每周：复盘周转天数变化</t>
  </si>
  <si>
    <t>📅 每月：更新ABC分类</t>
  </si>
  <si>
    <t>📅 每季度：调整安全库存参数</t>
  </si>
  <si>
    <t>📅 每年：重新评估策略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</si>
</sst>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58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E45" sqref="E45"/>
    </sheetView>
  </sheetViews>
  <sheetFormatPr defaultRowHeight="1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 t="s">
        <v>5</v>
      </c>
      <c r="B3">
        <v>100</v>
      </c>
      <c r="C3" t="s">
        <v>6</v>
      </c>
      <c r="D3" t="s">
        <v>7</v>
      </c>
    </row>
    <row r="4" spans="1:4" x14ac:dyDescent="0.3">
      <c r="A4" t="s">
        <v>8</v>
      </c>
      <c r="B4">
        <v>3000</v>
      </c>
      <c r="C4" t="s">
        <v>9</v>
      </c>
      <c r="D4" t="s">
        <v>10</v>
      </c>
    </row>
    <row r="5" spans="1:4" x14ac:dyDescent="0.3">
      <c r="A5" t="s">
        <v>11</v>
      </c>
      <c r="B5">
        <v>50</v>
      </c>
      <c r="C5" t="s">
        <v>12</v>
      </c>
      <c r="D5" t="s">
        <v>13</v>
      </c>
    </row>
    <row r="6" spans="1:4" x14ac:dyDescent="0.3">
      <c r="A6" t="s">
        <v>14</v>
      </c>
      <c r="B6">
        <v>30</v>
      </c>
      <c r="C6" t="s">
        <v>15</v>
      </c>
      <c r="D6" t="s">
        <v>16</v>
      </c>
    </row>
    <row r="7" spans="1:4" x14ac:dyDescent="0.3">
      <c r="A7" t="s">
        <v>17</v>
      </c>
      <c r="B7">
        <v>8</v>
      </c>
      <c r="C7" t="s">
        <v>15</v>
      </c>
      <c r="D7" t="s">
        <v>18</v>
      </c>
    </row>
    <row r="9" spans="1:4" x14ac:dyDescent="0.3">
      <c r="A9" t="s">
        <v>19</v>
      </c>
    </row>
    <row r="10" spans="1:4" x14ac:dyDescent="0.3">
      <c r="A10" t="s">
        <v>1</v>
      </c>
      <c r="B10" t="s">
        <v>2</v>
      </c>
      <c r="C10" t="s">
        <v>3</v>
      </c>
      <c r="D10" t="s">
        <v>4</v>
      </c>
    </row>
    <row r="11" spans="1:4" x14ac:dyDescent="0.3">
      <c r="A11" t="s">
        <v>20</v>
      </c>
      <c r="B11">
        <v>800</v>
      </c>
      <c r="C11" t="s">
        <v>21</v>
      </c>
    </row>
    <row r="12" spans="1:4" x14ac:dyDescent="0.3">
      <c r="A12" t="s">
        <v>22</v>
      </c>
      <c r="B12">
        <v>300</v>
      </c>
      <c r="C12" t="s">
        <v>21</v>
      </c>
    </row>
    <row r="13" spans="1:4" x14ac:dyDescent="0.3">
      <c r="A13" t="s">
        <v>23</v>
      </c>
      <c r="B13">
        <v>150</v>
      </c>
      <c r="C13" t="s">
        <v>21</v>
      </c>
    </row>
    <row r="14" spans="1:4" x14ac:dyDescent="0.3">
      <c r="A14" t="s">
        <v>24</v>
      </c>
      <c r="B14">
        <v>7</v>
      </c>
      <c r="C14" t="s">
        <v>25</v>
      </c>
    </row>
    <row r="15" spans="1:4" x14ac:dyDescent="0.3">
      <c r="A15" t="s">
        <v>26</v>
      </c>
      <c r="B15">
        <v>30</v>
      </c>
      <c r="C15" t="s">
        <v>25</v>
      </c>
      <c r="D15" t="s">
        <v>27</v>
      </c>
    </row>
    <row r="17" spans="1:4" x14ac:dyDescent="0.3">
      <c r="A17" t="s">
        <v>28</v>
      </c>
    </row>
    <row r="18" spans="1:4" x14ac:dyDescent="0.3">
      <c r="A18" t="s">
        <v>1</v>
      </c>
      <c r="B18" t="s">
        <v>2</v>
      </c>
      <c r="C18" t="s">
        <v>3</v>
      </c>
      <c r="D18" t="s">
        <v>4</v>
      </c>
    </row>
    <row r="19" spans="1:4" x14ac:dyDescent="0.3">
      <c r="A19" t="s">
        <v>29</v>
      </c>
      <c r="B19">
        <v>2</v>
      </c>
      <c r="C19" t="s">
        <v>30</v>
      </c>
    </row>
    <row r="20" spans="1:4" x14ac:dyDescent="0.3">
      <c r="A20" t="s">
        <v>31</v>
      </c>
      <c r="B20">
        <v>15</v>
      </c>
      <c r="C20" t="s">
        <v>15</v>
      </c>
      <c r="D20" t="s">
        <v>32</v>
      </c>
    </row>
    <row r="21" spans="1:4" x14ac:dyDescent="0.3">
      <c r="A21" t="s">
        <v>33</v>
      </c>
      <c r="B21">
        <v>10</v>
      </c>
      <c r="C21" t="s">
        <v>15</v>
      </c>
      <c r="D21" t="s">
        <v>32</v>
      </c>
    </row>
    <row r="22" spans="1:4" x14ac:dyDescent="0.3">
      <c r="A22" t="s">
        <v>34</v>
      </c>
      <c r="B22">
        <v>90</v>
      </c>
      <c r="C22" t="s">
        <v>25</v>
      </c>
      <c r="D22" t="s">
        <v>35</v>
      </c>
    </row>
    <row r="24" spans="1:4" x14ac:dyDescent="0.3">
      <c r="A24" t="s">
        <v>36</v>
      </c>
    </row>
    <row r="25" spans="1:4" x14ac:dyDescent="0.3">
      <c r="A25" t="s">
        <v>1</v>
      </c>
      <c r="B25" t="s">
        <v>37</v>
      </c>
      <c r="C25" t="s">
        <v>38</v>
      </c>
      <c r="D25" t="s">
        <v>39</v>
      </c>
    </row>
    <row r="26" spans="1:4" x14ac:dyDescent="0.3">
      <c r="A26" t="s">
        <v>40</v>
      </c>
      <c r="B26" s="1">
        <v>0.7</v>
      </c>
      <c r="C26" s="1">
        <v>0.2</v>
      </c>
      <c r="D26" s="1">
        <v>0.1</v>
      </c>
    </row>
    <row r="27" spans="1:4" x14ac:dyDescent="0.3">
      <c r="A27" t="s">
        <v>41</v>
      </c>
      <c r="B27" t="s">
        <v>42</v>
      </c>
      <c r="C27" t="s">
        <v>43</v>
      </c>
      <c r="D27" t="s">
        <v>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5"/>
  <sheetViews>
    <sheetView workbookViewId="0">
      <selection sqref="A1:G65"/>
    </sheetView>
  </sheetViews>
  <sheetFormatPr defaultRowHeight="14" x14ac:dyDescent="0.3"/>
  <sheetData>
    <row r="1" spans="1:4" x14ac:dyDescent="0.3">
      <c r="A1" t="s">
        <v>45</v>
      </c>
    </row>
    <row r="3" spans="1:4" x14ac:dyDescent="0.3">
      <c r="A3" t="s">
        <v>46</v>
      </c>
      <c r="B3" t="s">
        <v>47</v>
      </c>
      <c r="C3" t="s">
        <v>48</v>
      </c>
      <c r="D3" t="s">
        <v>3</v>
      </c>
    </row>
    <row r="4" spans="1:4" x14ac:dyDescent="0.3">
      <c r="A4" t="s">
        <v>8</v>
      </c>
      <c r="B4" t="s">
        <v>49</v>
      </c>
      <c r="C4">
        <f>参数输入!B4</f>
        <v>3000</v>
      </c>
      <c r="D4" t="s">
        <v>9</v>
      </c>
    </row>
    <row r="5" spans="1:4" x14ac:dyDescent="0.3">
      <c r="A5" t="s">
        <v>50</v>
      </c>
      <c r="B5" t="s">
        <v>51</v>
      </c>
      <c r="C5">
        <f>(参数输入!B11+参数输入!B11*0.8)/2</f>
        <v>720</v>
      </c>
      <c r="D5" t="s">
        <v>21</v>
      </c>
    </row>
    <row r="6" spans="1:4" x14ac:dyDescent="0.3">
      <c r="A6" t="s">
        <v>52</v>
      </c>
      <c r="B6" t="s">
        <v>53</v>
      </c>
      <c r="C6">
        <f>C4/C5</f>
        <v>4.166666666666667</v>
      </c>
      <c r="D6" t="s">
        <v>54</v>
      </c>
    </row>
    <row r="7" spans="1:4" x14ac:dyDescent="0.3">
      <c r="A7" t="s">
        <v>55</v>
      </c>
      <c r="B7" t="s">
        <v>56</v>
      </c>
      <c r="C7">
        <f>30/C6</f>
        <v>7.1999999999999993</v>
      </c>
      <c r="D7" t="s">
        <v>25</v>
      </c>
    </row>
    <row r="8" spans="1:4" x14ac:dyDescent="0.3">
      <c r="A8" t="s">
        <v>57</v>
      </c>
      <c r="B8" t="s">
        <v>58</v>
      </c>
      <c r="C8">
        <f>C6*12</f>
        <v>50</v>
      </c>
      <c r="D8" t="s">
        <v>59</v>
      </c>
    </row>
    <row r="10" spans="1:4" x14ac:dyDescent="0.3">
      <c r="A10" t="s">
        <v>60</v>
      </c>
    </row>
    <row r="12" spans="1:4" x14ac:dyDescent="0.3">
      <c r="A12" t="s">
        <v>46</v>
      </c>
      <c r="B12" t="s">
        <v>47</v>
      </c>
      <c r="C12" t="s">
        <v>48</v>
      </c>
    </row>
    <row r="13" spans="1:4" x14ac:dyDescent="0.3">
      <c r="A13" t="s">
        <v>20</v>
      </c>
      <c r="B13" t="s">
        <v>61</v>
      </c>
      <c r="C13">
        <f>参数输入!B11</f>
        <v>800</v>
      </c>
    </row>
    <row r="14" spans="1:4" x14ac:dyDescent="0.3">
      <c r="A14" t="s">
        <v>22</v>
      </c>
      <c r="B14" t="s">
        <v>62</v>
      </c>
      <c r="C14">
        <f>参数输入!B12</f>
        <v>300</v>
      </c>
    </row>
    <row r="15" spans="1:4" x14ac:dyDescent="0.3">
      <c r="A15" t="s">
        <v>63</v>
      </c>
      <c r="B15" t="s">
        <v>64</v>
      </c>
      <c r="C15">
        <f>C13+C14</f>
        <v>1100</v>
      </c>
      <c r="D15" t="s">
        <v>21</v>
      </c>
    </row>
    <row r="16" spans="1:4" x14ac:dyDescent="0.3">
      <c r="A16" t="s">
        <v>5</v>
      </c>
      <c r="B16" t="s">
        <v>65</v>
      </c>
      <c r="C16">
        <f>参数输入!B3</f>
        <v>100</v>
      </c>
    </row>
    <row r="17" spans="1:7" x14ac:dyDescent="0.3">
      <c r="A17" t="s">
        <v>66</v>
      </c>
      <c r="B17" t="s">
        <v>67</v>
      </c>
      <c r="C17">
        <f>C15/C16</f>
        <v>11</v>
      </c>
      <c r="D17" t="s">
        <v>25</v>
      </c>
    </row>
    <row r="19" spans="1:7" x14ac:dyDescent="0.3">
      <c r="A19" t="s">
        <v>68</v>
      </c>
    </row>
    <row r="21" spans="1:7" x14ac:dyDescent="0.3">
      <c r="A21" t="s">
        <v>69</v>
      </c>
      <c r="B21" t="s">
        <v>70</v>
      </c>
      <c r="C21" t="s">
        <v>71</v>
      </c>
      <c r="D21" t="s">
        <v>72</v>
      </c>
      <c r="E21" t="s">
        <v>73</v>
      </c>
      <c r="F21" t="s">
        <v>74</v>
      </c>
      <c r="G21" t="s">
        <v>75</v>
      </c>
    </row>
    <row r="22" spans="1:7" x14ac:dyDescent="0.3">
      <c r="A22" t="s">
        <v>41</v>
      </c>
      <c r="B22">
        <f>C7</f>
        <v>7.1999999999999993</v>
      </c>
      <c r="C22" t="s">
        <v>76</v>
      </c>
      <c r="D22" t="s">
        <v>77</v>
      </c>
      <c r="E22" t="s">
        <v>78</v>
      </c>
      <c r="F22" t="s">
        <v>79</v>
      </c>
      <c r="G22" t="str">
        <f>IF(C7&lt;30,"🟢 优秀",IF(C7&lt;45,"🟡 良好",IF(C7&lt;60,"🟠 警戒","🔴 严重")))</f>
        <v>🟢 优秀</v>
      </c>
    </row>
    <row r="23" spans="1:7" x14ac:dyDescent="0.3">
      <c r="A23" t="s">
        <v>66</v>
      </c>
      <c r="B23">
        <f>C17</f>
        <v>11</v>
      </c>
      <c r="C23" t="s">
        <v>80</v>
      </c>
      <c r="D23" t="s">
        <v>81</v>
      </c>
      <c r="E23" s="2" t="s">
        <v>82</v>
      </c>
      <c r="F23" t="s">
        <v>83</v>
      </c>
      <c r="G23" t="str">
        <f>IF(C17&gt;30,"🟢 充足",IF(C17&gt;20,"🟡 正常",IF(C17&gt;10,"🟠 不足","🔴 断货风险")))</f>
        <v>🟠 不足</v>
      </c>
    </row>
    <row r="24" spans="1:7" x14ac:dyDescent="0.3">
      <c r="A24" t="s">
        <v>84</v>
      </c>
      <c r="B24">
        <f>参数输入!B9</f>
        <v>0</v>
      </c>
      <c r="C24" t="s">
        <v>85</v>
      </c>
      <c r="D24" t="s">
        <v>85</v>
      </c>
      <c r="E24" t="s">
        <v>85</v>
      </c>
      <c r="F24" t="s">
        <v>85</v>
      </c>
    </row>
    <row r="26" spans="1:7" x14ac:dyDescent="0.3">
      <c r="A26" t="s">
        <v>86</v>
      </c>
    </row>
    <row r="28" spans="1:7" x14ac:dyDescent="0.3">
      <c r="A28" t="s">
        <v>87</v>
      </c>
      <c r="B28" t="s">
        <v>8</v>
      </c>
      <c r="C28" t="s">
        <v>88</v>
      </c>
      <c r="D28" t="s">
        <v>89</v>
      </c>
      <c r="E28" t="s">
        <v>40</v>
      </c>
      <c r="F28" t="s">
        <v>90</v>
      </c>
      <c r="G28" t="s">
        <v>91</v>
      </c>
    </row>
    <row r="29" spans="1:7" x14ac:dyDescent="0.3">
      <c r="A29" t="s">
        <v>92</v>
      </c>
      <c r="B29">
        <v>500</v>
      </c>
      <c r="C29">
        <v>50</v>
      </c>
      <c r="D29">
        <f t="shared" ref="D29:D38" si="0">B29*C29</f>
        <v>25000</v>
      </c>
      <c r="E29">
        <f t="shared" ref="E29:E38" si="1">D29/SUM($D$29:$D$38)</f>
        <v>0.38610038610038611</v>
      </c>
      <c r="F29">
        <f>SUM($E$29:E29)</f>
        <v>0.38610038610038611</v>
      </c>
      <c r="G29" t="str">
        <f t="shared" ref="G29:G38" si="2">IF(F29&lt;=0.7,"A",IF(F29&lt;=0.9,"B","C"))</f>
        <v>A</v>
      </c>
    </row>
    <row r="30" spans="1:7" x14ac:dyDescent="0.3">
      <c r="A30" t="s">
        <v>93</v>
      </c>
      <c r="B30">
        <v>300</v>
      </c>
      <c r="C30">
        <v>50</v>
      </c>
      <c r="D30">
        <f t="shared" si="0"/>
        <v>15000</v>
      </c>
      <c r="E30">
        <f t="shared" si="1"/>
        <v>0.23166023166023167</v>
      </c>
      <c r="F30">
        <f>SUM($E$29:E30)</f>
        <v>0.61776061776061775</v>
      </c>
      <c r="G30" t="str">
        <f t="shared" si="2"/>
        <v>A</v>
      </c>
    </row>
    <row r="31" spans="1:7" x14ac:dyDescent="0.3">
      <c r="A31" t="s">
        <v>94</v>
      </c>
      <c r="B31">
        <v>200</v>
      </c>
      <c r="C31">
        <v>50</v>
      </c>
      <c r="D31">
        <f t="shared" si="0"/>
        <v>10000</v>
      </c>
      <c r="E31">
        <f t="shared" si="1"/>
        <v>0.15444015444015444</v>
      </c>
      <c r="F31">
        <f>SUM($E$29:E31)</f>
        <v>0.77220077220077221</v>
      </c>
      <c r="G31" t="str">
        <f t="shared" si="2"/>
        <v>B</v>
      </c>
    </row>
    <row r="32" spans="1:7" x14ac:dyDescent="0.3">
      <c r="A32" t="s">
        <v>95</v>
      </c>
      <c r="B32">
        <v>100</v>
      </c>
      <c r="C32">
        <v>50</v>
      </c>
      <c r="D32">
        <f t="shared" si="0"/>
        <v>5000</v>
      </c>
      <c r="E32">
        <f t="shared" si="1"/>
        <v>7.7220077220077218E-2</v>
      </c>
      <c r="F32">
        <f>SUM($E$29:E32)</f>
        <v>0.84942084942084939</v>
      </c>
      <c r="G32" t="str">
        <f t="shared" si="2"/>
        <v>B</v>
      </c>
    </row>
    <row r="33" spans="1:7" x14ac:dyDescent="0.3">
      <c r="A33" t="s">
        <v>96</v>
      </c>
      <c r="B33">
        <v>80</v>
      </c>
      <c r="C33">
        <v>50</v>
      </c>
      <c r="D33">
        <f t="shared" si="0"/>
        <v>4000</v>
      </c>
      <c r="E33">
        <f t="shared" si="1"/>
        <v>6.1776061776061778E-2</v>
      </c>
      <c r="F33">
        <f>SUM($E$29:E33)</f>
        <v>0.91119691119691115</v>
      </c>
      <c r="G33" t="str">
        <f t="shared" si="2"/>
        <v>C</v>
      </c>
    </row>
    <row r="34" spans="1:7" x14ac:dyDescent="0.3">
      <c r="A34" t="s">
        <v>97</v>
      </c>
      <c r="B34">
        <v>50</v>
      </c>
      <c r="C34">
        <v>50</v>
      </c>
      <c r="D34">
        <f t="shared" si="0"/>
        <v>2500</v>
      </c>
      <c r="E34">
        <f t="shared" si="1"/>
        <v>3.8610038610038609E-2</v>
      </c>
      <c r="F34">
        <f>SUM($E$29:E34)</f>
        <v>0.9498069498069498</v>
      </c>
      <c r="G34" t="str">
        <f t="shared" si="2"/>
        <v>C</v>
      </c>
    </row>
    <row r="35" spans="1:7" x14ac:dyDescent="0.3">
      <c r="A35" t="s">
        <v>98</v>
      </c>
      <c r="B35">
        <v>30</v>
      </c>
      <c r="C35">
        <v>50</v>
      </c>
      <c r="D35">
        <f t="shared" si="0"/>
        <v>1500</v>
      </c>
      <c r="E35">
        <f t="shared" si="1"/>
        <v>2.3166023166023165E-2</v>
      </c>
      <c r="F35">
        <f>SUM($E$29:E35)</f>
        <v>0.97297297297297292</v>
      </c>
      <c r="G35" t="str">
        <f t="shared" si="2"/>
        <v>C</v>
      </c>
    </row>
    <row r="36" spans="1:7" x14ac:dyDescent="0.3">
      <c r="A36" t="s">
        <v>99</v>
      </c>
      <c r="B36">
        <v>20</v>
      </c>
      <c r="C36">
        <v>50</v>
      </c>
      <c r="D36">
        <f t="shared" si="0"/>
        <v>1000</v>
      </c>
      <c r="E36">
        <f t="shared" si="1"/>
        <v>1.5444015444015444E-2</v>
      </c>
      <c r="F36">
        <f>SUM($E$29:E36)</f>
        <v>0.98841698841698833</v>
      </c>
      <c r="G36" t="str">
        <f t="shared" si="2"/>
        <v>C</v>
      </c>
    </row>
    <row r="37" spans="1:7" x14ac:dyDescent="0.3">
      <c r="A37" t="s">
        <v>100</v>
      </c>
      <c r="B37">
        <v>10</v>
      </c>
      <c r="C37">
        <v>50</v>
      </c>
      <c r="D37">
        <f t="shared" si="0"/>
        <v>500</v>
      </c>
      <c r="E37">
        <f t="shared" si="1"/>
        <v>7.7220077220077222E-3</v>
      </c>
      <c r="F37">
        <f>SUM($E$29:E37)</f>
        <v>0.99613899613899604</v>
      </c>
      <c r="G37" t="str">
        <f t="shared" si="2"/>
        <v>C</v>
      </c>
    </row>
    <row r="38" spans="1:7" x14ac:dyDescent="0.3">
      <c r="A38" t="s">
        <v>101</v>
      </c>
      <c r="B38">
        <v>5</v>
      </c>
      <c r="C38">
        <v>50</v>
      </c>
      <c r="D38">
        <f t="shared" si="0"/>
        <v>250</v>
      </c>
      <c r="E38">
        <f t="shared" si="1"/>
        <v>3.8610038610038611E-3</v>
      </c>
      <c r="F38">
        <f>SUM($E$29:E38)</f>
        <v>0.99999999999999989</v>
      </c>
      <c r="G38" t="str">
        <f t="shared" si="2"/>
        <v>C</v>
      </c>
    </row>
    <row r="39" spans="1:7" x14ac:dyDescent="0.3">
      <c r="A39" t="s">
        <v>102</v>
      </c>
      <c r="B39">
        <f>SUM(B29:B38)</f>
        <v>1295</v>
      </c>
      <c r="D39">
        <f>SUM(D29:D38)</f>
        <v>64750</v>
      </c>
    </row>
    <row r="41" spans="1:7" x14ac:dyDescent="0.3">
      <c r="A41" t="s">
        <v>103</v>
      </c>
    </row>
    <row r="43" spans="1:7" x14ac:dyDescent="0.3">
      <c r="A43" t="s">
        <v>91</v>
      </c>
      <c r="B43" t="s">
        <v>104</v>
      </c>
      <c r="C43" t="s">
        <v>40</v>
      </c>
      <c r="D43" t="s">
        <v>105</v>
      </c>
      <c r="E43" t="s">
        <v>106</v>
      </c>
    </row>
    <row r="44" spans="1:7" x14ac:dyDescent="0.3">
      <c r="A44" t="s">
        <v>107</v>
      </c>
      <c r="B44">
        <f>COUNTIF($G$29:$G$38,"A")/10</f>
        <v>0.2</v>
      </c>
      <c r="C44">
        <f>SUMIF($G$29:$G$38,"A",$D$29:$D$38)/SUM($D$29:$D$38)</f>
        <v>0.61776061776061775</v>
      </c>
      <c r="D44" t="s">
        <v>108</v>
      </c>
      <c r="E44" t="s">
        <v>109</v>
      </c>
    </row>
    <row r="45" spans="1:7" x14ac:dyDescent="0.3">
      <c r="A45" t="s">
        <v>110</v>
      </c>
      <c r="B45">
        <f>COUNTIF($G$29:$G$38,"B")/10</f>
        <v>0.2</v>
      </c>
      <c r="C45">
        <f>SUMIF($G$29:$G$38,"B",$D$29:$D$38)/SUM($D$29:$D$38)</f>
        <v>0.23166023166023167</v>
      </c>
      <c r="D45" t="s">
        <v>111</v>
      </c>
      <c r="E45" t="s">
        <v>112</v>
      </c>
    </row>
    <row r="46" spans="1:7" x14ac:dyDescent="0.3">
      <c r="A46" t="s">
        <v>113</v>
      </c>
      <c r="B46">
        <f>COUNTIF($G$29:$G$38,"C")/10</f>
        <v>0.6</v>
      </c>
      <c r="C46">
        <f>SUMIF($G$29:$G$38,"C",$D$29:$D$38)/SUM($D$29:$D$38)</f>
        <v>0.15057915057915058</v>
      </c>
      <c r="D46" t="s">
        <v>114</v>
      </c>
      <c r="E46" t="s">
        <v>115</v>
      </c>
    </row>
    <row r="48" spans="1:7" x14ac:dyDescent="0.3">
      <c r="A48" t="s">
        <v>116</v>
      </c>
    </row>
    <row r="50" spans="1:4" x14ac:dyDescent="0.3">
      <c r="A50" t="s">
        <v>117</v>
      </c>
      <c r="B50" t="s">
        <v>118</v>
      </c>
      <c r="C50" t="s">
        <v>119</v>
      </c>
      <c r="D50" t="s">
        <v>120</v>
      </c>
    </row>
    <row r="51" spans="1:4" x14ac:dyDescent="0.3">
      <c r="A51" t="s">
        <v>121</v>
      </c>
      <c r="B51">
        <v>500</v>
      </c>
      <c r="C51">
        <f>B51/SUM($B$51:$B$54)</f>
        <v>0.58823529411764708</v>
      </c>
      <c r="D51" t="s">
        <v>122</v>
      </c>
    </row>
    <row r="52" spans="1:4" x14ac:dyDescent="0.3">
      <c r="A52" t="s">
        <v>123</v>
      </c>
      <c r="B52">
        <v>200</v>
      </c>
      <c r="C52">
        <f>B52/SUM($B$51:$B$54)</f>
        <v>0.23529411764705882</v>
      </c>
      <c r="D52" t="s">
        <v>124</v>
      </c>
    </row>
    <row r="53" spans="1:4" x14ac:dyDescent="0.3">
      <c r="A53" t="s">
        <v>125</v>
      </c>
      <c r="B53">
        <v>100</v>
      </c>
      <c r="C53">
        <f>B53/SUM($B$51:$B$54)</f>
        <v>0.11764705882352941</v>
      </c>
      <c r="D53" t="s">
        <v>126</v>
      </c>
    </row>
    <row r="54" spans="1:4" x14ac:dyDescent="0.3">
      <c r="A54" t="s">
        <v>127</v>
      </c>
      <c r="B54">
        <v>50</v>
      </c>
      <c r="C54">
        <f>B54/SUM($B$51:$B$54)</f>
        <v>5.8823529411764705E-2</v>
      </c>
      <c r="D54" t="s">
        <v>128</v>
      </c>
    </row>
    <row r="55" spans="1:4" x14ac:dyDescent="0.3">
      <c r="A55" t="s">
        <v>102</v>
      </c>
      <c r="B55">
        <f>SUM(B51:B54)</f>
        <v>850</v>
      </c>
      <c r="C55" s="1">
        <v>1</v>
      </c>
    </row>
    <row r="57" spans="1:4" x14ac:dyDescent="0.3">
      <c r="A57" t="s">
        <v>129</v>
      </c>
    </row>
    <row r="59" spans="1:4" x14ac:dyDescent="0.3">
      <c r="A59" t="s">
        <v>130</v>
      </c>
      <c r="B59" t="s">
        <v>131</v>
      </c>
      <c r="C59" t="s">
        <v>48</v>
      </c>
      <c r="D59" t="s">
        <v>3</v>
      </c>
    </row>
    <row r="60" spans="1:4" x14ac:dyDescent="0.3">
      <c r="A60" t="s">
        <v>29</v>
      </c>
      <c r="B60" t="s">
        <v>132</v>
      </c>
      <c r="C60">
        <f>参数输入!B11*参数输入!B19</f>
        <v>1600</v>
      </c>
      <c r="D60" t="s">
        <v>133</v>
      </c>
    </row>
    <row r="61" spans="1:4" x14ac:dyDescent="0.3">
      <c r="A61" t="s">
        <v>134</v>
      </c>
      <c r="B61" t="s">
        <v>135</v>
      </c>
      <c r="C61">
        <f>参数输入!B11*参数输入!B5*(参数输入!B7/100)/12</f>
        <v>266.66666666666669</v>
      </c>
      <c r="D61" t="s">
        <v>133</v>
      </c>
    </row>
    <row r="62" spans="1:4" x14ac:dyDescent="0.3">
      <c r="A62" t="s">
        <v>136</v>
      </c>
      <c r="B62" t="s">
        <v>137</v>
      </c>
      <c r="C62">
        <f>参数输入!B11*参数输入!B5*(参数输入!B20/100)/12</f>
        <v>500</v>
      </c>
      <c r="D62" t="s">
        <v>133</v>
      </c>
    </row>
    <row r="63" spans="1:4" x14ac:dyDescent="0.3">
      <c r="A63" t="s">
        <v>138</v>
      </c>
      <c r="B63" t="s">
        <v>139</v>
      </c>
      <c r="C63">
        <f>SUM(C60:C62)</f>
        <v>2366.666666666667</v>
      </c>
      <c r="D63" t="s">
        <v>133</v>
      </c>
    </row>
    <row r="65" spans="1:4" x14ac:dyDescent="0.3">
      <c r="A65" t="s">
        <v>140</v>
      </c>
      <c r="B65" t="s">
        <v>141</v>
      </c>
      <c r="C65">
        <f>C63/参数输入!B11</f>
        <v>2.9583333333333339</v>
      </c>
      <c r="D65" t="s">
        <v>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workbookViewId="0">
      <selection activeCell="K20" sqref="K20"/>
    </sheetView>
  </sheetViews>
  <sheetFormatPr defaultRowHeight="14" x14ac:dyDescent="0.3"/>
  <sheetData>
    <row r="1" spans="1:7" x14ac:dyDescent="0.3">
      <c r="A1" t="s">
        <v>142</v>
      </c>
    </row>
    <row r="3" spans="1:7" x14ac:dyDescent="0.3">
      <c r="A3" t="s">
        <v>143</v>
      </c>
      <c r="B3" t="s">
        <v>26</v>
      </c>
      <c r="C3" t="s">
        <v>144</v>
      </c>
      <c r="D3" t="s">
        <v>145</v>
      </c>
      <c r="E3" t="s">
        <v>146</v>
      </c>
      <c r="F3" t="s">
        <v>147</v>
      </c>
      <c r="G3" t="s">
        <v>148</v>
      </c>
    </row>
    <row r="4" spans="1:7" x14ac:dyDescent="0.3">
      <c r="A4" t="s">
        <v>149</v>
      </c>
      <c r="B4" t="s">
        <v>150</v>
      </c>
      <c r="C4" t="s">
        <v>151</v>
      </c>
      <c r="D4" t="s">
        <v>152</v>
      </c>
      <c r="E4" t="s">
        <v>153</v>
      </c>
      <c r="F4" t="s">
        <v>154</v>
      </c>
      <c r="G4" t="s">
        <v>155</v>
      </c>
    </row>
    <row r="5" spans="1:7" x14ac:dyDescent="0.3">
      <c r="A5" t="s">
        <v>156</v>
      </c>
      <c r="B5" t="s">
        <v>157</v>
      </c>
      <c r="C5" t="s">
        <v>158</v>
      </c>
      <c r="D5" t="s">
        <v>159</v>
      </c>
      <c r="E5" t="s">
        <v>160</v>
      </c>
      <c r="F5" t="s">
        <v>161</v>
      </c>
      <c r="G5" t="s">
        <v>162</v>
      </c>
    </row>
    <row r="6" spans="1:7" x14ac:dyDescent="0.3">
      <c r="A6" t="s">
        <v>163</v>
      </c>
      <c r="B6" t="s">
        <v>164</v>
      </c>
      <c r="C6" t="s">
        <v>165</v>
      </c>
      <c r="D6" t="s">
        <v>166</v>
      </c>
      <c r="E6" t="s">
        <v>167</v>
      </c>
      <c r="F6" t="s">
        <v>168</v>
      </c>
      <c r="G6" t="s">
        <v>169</v>
      </c>
    </row>
    <row r="8" spans="1:7" x14ac:dyDescent="0.3">
      <c r="A8" t="s">
        <v>170</v>
      </c>
    </row>
    <row r="10" spans="1:7" x14ac:dyDescent="0.3">
      <c r="A10" t="s">
        <v>171</v>
      </c>
      <c r="B10" t="s">
        <v>172</v>
      </c>
      <c r="C10" t="s">
        <v>26</v>
      </c>
      <c r="D10" t="s">
        <v>23</v>
      </c>
      <c r="E10" t="s">
        <v>173</v>
      </c>
    </row>
    <row r="11" spans="1:7" x14ac:dyDescent="0.3">
      <c r="A11" t="s">
        <v>174</v>
      </c>
      <c r="B11" t="s">
        <v>149</v>
      </c>
      <c r="C11" t="s">
        <v>150</v>
      </c>
      <c r="D11">
        <f>参数输入!B11*0.5</f>
        <v>400</v>
      </c>
      <c r="E11" t="s">
        <v>175</v>
      </c>
    </row>
    <row r="12" spans="1:7" x14ac:dyDescent="0.3">
      <c r="A12" t="s">
        <v>176</v>
      </c>
      <c r="B12" t="s">
        <v>156</v>
      </c>
      <c r="C12" t="s">
        <v>157</v>
      </c>
      <c r="D12">
        <f>参数输入!B11</f>
        <v>800</v>
      </c>
      <c r="E12" t="s">
        <v>177</v>
      </c>
    </row>
    <row r="13" spans="1:7" x14ac:dyDescent="0.3">
      <c r="A13" t="s">
        <v>178</v>
      </c>
      <c r="B13" t="s">
        <v>163</v>
      </c>
      <c r="C13" t="s">
        <v>164</v>
      </c>
      <c r="D13">
        <f>参数输入!B11*2</f>
        <v>1600</v>
      </c>
      <c r="E13" t="s">
        <v>179</v>
      </c>
    </row>
    <row r="15" spans="1:7" x14ac:dyDescent="0.3">
      <c r="A15" t="s">
        <v>180</v>
      </c>
    </row>
    <row r="17" spans="1:5" x14ac:dyDescent="0.3">
      <c r="A17" t="s">
        <v>181</v>
      </c>
      <c r="B17" t="s">
        <v>182</v>
      </c>
      <c r="C17" t="s">
        <v>183</v>
      </c>
      <c r="D17" t="s">
        <v>184</v>
      </c>
      <c r="E17" t="s">
        <v>185</v>
      </c>
    </row>
    <row r="18" spans="1:5" x14ac:dyDescent="0.3">
      <c r="A18" t="s">
        <v>186</v>
      </c>
      <c r="B18" t="s">
        <v>187</v>
      </c>
      <c r="C18" t="s">
        <v>188</v>
      </c>
      <c r="D18" t="s">
        <v>151</v>
      </c>
      <c r="E18" t="s">
        <v>165</v>
      </c>
    </row>
    <row r="19" spans="1:5" x14ac:dyDescent="0.3">
      <c r="A19" t="s">
        <v>189</v>
      </c>
      <c r="B19" t="s">
        <v>190</v>
      </c>
      <c r="C19" t="s">
        <v>191</v>
      </c>
      <c r="D19" t="s">
        <v>158</v>
      </c>
      <c r="E19" t="s">
        <v>165</v>
      </c>
    </row>
    <row r="20" spans="1:5" x14ac:dyDescent="0.3">
      <c r="A20" t="s">
        <v>192</v>
      </c>
      <c r="B20" t="s">
        <v>193</v>
      </c>
      <c r="C20" t="s">
        <v>194</v>
      </c>
      <c r="D20" t="s">
        <v>158</v>
      </c>
      <c r="E20" t="s">
        <v>158</v>
      </c>
    </row>
    <row r="21" spans="1:5" x14ac:dyDescent="0.3">
      <c r="A21" t="s">
        <v>195</v>
      </c>
      <c r="B21" t="s">
        <v>196</v>
      </c>
      <c r="C21" t="s">
        <v>197</v>
      </c>
      <c r="D21" t="s">
        <v>151</v>
      </c>
      <c r="E21" t="s">
        <v>158</v>
      </c>
    </row>
    <row r="22" spans="1:5" x14ac:dyDescent="0.3">
      <c r="A22" t="s">
        <v>198</v>
      </c>
      <c r="B22" t="s">
        <v>199</v>
      </c>
      <c r="C22" t="s">
        <v>200</v>
      </c>
      <c r="D22" t="s">
        <v>165</v>
      </c>
      <c r="E22" t="s">
        <v>165</v>
      </c>
    </row>
    <row r="24" spans="1:5" x14ac:dyDescent="0.3">
      <c r="A24" t="s">
        <v>201</v>
      </c>
    </row>
    <row r="26" spans="1:5" x14ac:dyDescent="0.3">
      <c r="A26" t="s">
        <v>202</v>
      </c>
      <c r="B26" t="s">
        <v>203</v>
      </c>
      <c r="C26" t="s">
        <v>70</v>
      </c>
      <c r="D26" t="s">
        <v>204</v>
      </c>
      <c r="E26" t="s">
        <v>205</v>
      </c>
    </row>
    <row r="27" spans="1:5" x14ac:dyDescent="0.3">
      <c r="A27" t="s">
        <v>206</v>
      </c>
      <c r="B27" t="s">
        <v>207</v>
      </c>
      <c r="C27">
        <f>周转计算!C17</f>
        <v>11</v>
      </c>
      <c r="D27" t="str">
        <f>IF(C27&gt;45,"是","否")</f>
        <v>否</v>
      </c>
      <c r="E27" t="s">
        <v>208</v>
      </c>
    </row>
    <row r="28" spans="1:5" x14ac:dyDescent="0.3">
      <c r="A28" t="s">
        <v>209</v>
      </c>
      <c r="B28" t="s">
        <v>210</v>
      </c>
      <c r="C28">
        <f>周转计算!C17</f>
        <v>11</v>
      </c>
      <c r="D28" t="str">
        <f>IF(C28&lt;10,"是","否")</f>
        <v>否</v>
      </c>
      <c r="E28" t="s">
        <v>211</v>
      </c>
    </row>
    <row r="29" spans="1:5" x14ac:dyDescent="0.3">
      <c r="A29" t="s">
        <v>212</v>
      </c>
      <c r="B29" t="s">
        <v>213</v>
      </c>
      <c r="C29">
        <f>周转计算!C7</f>
        <v>7.1999999999999993</v>
      </c>
      <c r="D29" t="str">
        <f>IF(C29&gt;60,"是","否")</f>
        <v>否</v>
      </c>
      <c r="E29" t="s">
        <v>214</v>
      </c>
    </row>
    <row r="30" spans="1:5" x14ac:dyDescent="0.3">
      <c r="A30" t="s">
        <v>215</v>
      </c>
      <c r="B30" t="s">
        <v>216</v>
      </c>
      <c r="C30">
        <f>周转计算!B54/SUM(周转计算!B51:B54)</f>
        <v>5.8823529411764705E-2</v>
      </c>
      <c r="D30" t="str">
        <f>IF(C30&gt;0.2,"是","否")</f>
        <v>否</v>
      </c>
      <c r="E30" t="s">
        <v>217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5"/>
  <sheetViews>
    <sheetView workbookViewId="0">
      <selection sqref="A1:F35"/>
    </sheetView>
  </sheetViews>
  <sheetFormatPr defaultRowHeight="14" x14ac:dyDescent="0.3"/>
  <sheetData>
    <row r="1" spans="1:6" x14ac:dyDescent="0.3">
      <c r="A1" t="s">
        <v>218</v>
      </c>
    </row>
    <row r="3" spans="1:6" x14ac:dyDescent="0.3">
      <c r="A3" t="s">
        <v>219</v>
      </c>
      <c r="B3" t="s">
        <v>8</v>
      </c>
      <c r="C3" t="s">
        <v>220</v>
      </c>
      <c r="D3" t="s">
        <v>221</v>
      </c>
      <c r="E3" t="s">
        <v>41</v>
      </c>
      <c r="F3" t="s">
        <v>222</v>
      </c>
    </row>
    <row r="4" spans="1:6" x14ac:dyDescent="0.3">
      <c r="A4" s="1">
        <v>-0.5</v>
      </c>
      <c r="B4">
        <f>参数输入!$B$4*0.5</f>
        <v>1500</v>
      </c>
      <c r="C4">
        <f>参数输入!$B$11</f>
        <v>800</v>
      </c>
      <c r="D4">
        <f>B4/C4</f>
        <v>1.875</v>
      </c>
      <c r="E4">
        <f>30/D4</f>
        <v>16</v>
      </c>
      <c r="F4" t="s">
        <v>223</v>
      </c>
    </row>
    <row r="5" spans="1:6" x14ac:dyDescent="0.3">
      <c r="A5" s="1">
        <v>-0.3</v>
      </c>
      <c r="B5">
        <f>参数输入!$B$4*0.7</f>
        <v>2100</v>
      </c>
      <c r="C5">
        <f>参数输入!$B$11</f>
        <v>800</v>
      </c>
      <c r="D5">
        <f>B5/C5</f>
        <v>2.625</v>
      </c>
      <c r="E5">
        <f>30/D5</f>
        <v>11.428571428571429</v>
      </c>
      <c r="F5" t="s">
        <v>223</v>
      </c>
    </row>
    <row r="6" spans="1:6" x14ac:dyDescent="0.3">
      <c r="A6" s="1">
        <v>0</v>
      </c>
      <c r="B6">
        <f>参数输入!$B$4*1</f>
        <v>3000</v>
      </c>
      <c r="C6">
        <f>参数输入!$B$11</f>
        <v>800</v>
      </c>
      <c r="D6">
        <f>B6/C6</f>
        <v>3.75</v>
      </c>
      <c r="E6">
        <f>30/D6</f>
        <v>8</v>
      </c>
      <c r="F6" t="s">
        <v>224</v>
      </c>
    </row>
    <row r="7" spans="1:6" x14ac:dyDescent="0.3">
      <c r="A7" s="1">
        <v>0.3</v>
      </c>
      <c r="B7">
        <f>参数输入!$B$4*1.3</f>
        <v>3900</v>
      </c>
      <c r="C7">
        <f>参数输入!$B$11</f>
        <v>800</v>
      </c>
      <c r="D7">
        <f>B7/C7</f>
        <v>4.875</v>
      </c>
      <c r="E7">
        <f>30/D7</f>
        <v>6.1538461538461542</v>
      </c>
      <c r="F7" t="s">
        <v>225</v>
      </c>
    </row>
    <row r="8" spans="1:6" x14ac:dyDescent="0.3">
      <c r="A8" s="1">
        <v>0.5</v>
      </c>
      <c r="B8">
        <f>参数输入!$B$4*1.5</f>
        <v>4500</v>
      </c>
      <c r="C8">
        <f>参数输入!$B$11</f>
        <v>800</v>
      </c>
      <c r="D8">
        <f>B8/C8</f>
        <v>5.625</v>
      </c>
      <c r="E8">
        <f>30/D8</f>
        <v>5.333333333333333</v>
      </c>
      <c r="F8" t="s">
        <v>225</v>
      </c>
    </row>
    <row r="10" spans="1:6" x14ac:dyDescent="0.3">
      <c r="A10" t="s">
        <v>226</v>
      </c>
    </row>
    <row r="12" spans="1:6" x14ac:dyDescent="0.3">
      <c r="A12" t="s">
        <v>227</v>
      </c>
      <c r="B12" t="s">
        <v>118</v>
      </c>
      <c r="C12" t="s">
        <v>221</v>
      </c>
      <c r="D12" t="s">
        <v>41</v>
      </c>
      <c r="E12" t="s">
        <v>228</v>
      </c>
    </row>
    <row r="13" spans="1:6" x14ac:dyDescent="0.3">
      <c r="A13" s="1">
        <v>-0.5</v>
      </c>
      <c r="B13">
        <f>参数输入!$B$11*0.5</f>
        <v>400</v>
      </c>
      <c r="C13">
        <f>参数输入!$B$4/B13</f>
        <v>7.5</v>
      </c>
      <c r="D13">
        <f>30/C13</f>
        <v>4</v>
      </c>
      <c r="E13">
        <f>B13*参数输入!$B$5</f>
        <v>20000</v>
      </c>
    </row>
    <row r="14" spans="1:6" x14ac:dyDescent="0.3">
      <c r="A14" s="1">
        <v>-0.3</v>
      </c>
      <c r="B14">
        <f>参数输入!$B$11*0.7</f>
        <v>560</v>
      </c>
      <c r="C14">
        <f>参数输入!$B$4/B14</f>
        <v>5.3571428571428568</v>
      </c>
      <c r="D14">
        <f>30/C14</f>
        <v>5.6000000000000005</v>
      </c>
      <c r="E14">
        <f>B14*参数输入!$B$5</f>
        <v>28000</v>
      </c>
    </row>
    <row r="15" spans="1:6" x14ac:dyDescent="0.3">
      <c r="A15" s="1">
        <v>0</v>
      </c>
      <c r="B15">
        <f>参数输入!$B$11*1</f>
        <v>800</v>
      </c>
      <c r="C15">
        <f>参数输入!$B$4/B15</f>
        <v>3.75</v>
      </c>
      <c r="D15">
        <f>30/C15</f>
        <v>8</v>
      </c>
      <c r="E15">
        <f>B15*参数输入!$B$5</f>
        <v>40000</v>
      </c>
    </row>
    <row r="16" spans="1:6" x14ac:dyDescent="0.3">
      <c r="A16" s="1">
        <v>0.3</v>
      </c>
      <c r="B16">
        <f>参数输入!$B$11*1.3</f>
        <v>1040</v>
      </c>
      <c r="C16">
        <f>参数输入!$B$4/B16</f>
        <v>2.8846153846153846</v>
      </c>
      <c r="D16">
        <f>30/C16</f>
        <v>10.4</v>
      </c>
      <c r="E16">
        <f>B16*参数输入!$B$5</f>
        <v>52000</v>
      </c>
    </row>
    <row r="17" spans="1:5" x14ac:dyDescent="0.3">
      <c r="A17" s="1">
        <v>0.5</v>
      </c>
      <c r="B17">
        <f>参数输入!$B$11*1.5</f>
        <v>1200</v>
      </c>
      <c r="C17">
        <f>参数输入!$B$4/B17</f>
        <v>2.5</v>
      </c>
      <c r="D17">
        <f>30/C17</f>
        <v>12</v>
      </c>
      <c r="E17">
        <f>B17*参数输入!$B$5</f>
        <v>60000</v>
      </c>
    </row>
    <row r="19" spans="1:5" x14ac:dyDescent="0.3">
      <c r="A19" t="s">
        <v>229</v>
      </c>
    </row>
    <row r="21" spans="1:5" x14ac:dyDescent="0.3">
      <c r="A21" t="s">
        <v>26</v>
      </c>
      <c r="B21" t="s">
        <v>230</v>
      </c>
      <c r="C21" t="s">
        <v>231</v>
      </c>
      <c r="D21" t="s">
        <v>232</v>
      </c>
      <c r="E21" t="s">
        <v>205</v>
      </c>
    </row>
    <row r="22" spans="1:5" x14ac:dyDescent="0.3">
      <c r="A22" t="s">
        <v>233</v>
      </c>
      <c r="B22">
        <f>参数输入!$B$4</f>
        <v>3000</v>
      </c>
      <c r="C22">
        <f>参数输入!$B$4*20/30</f>
        <v>2000</v>
      </c>
      <c r="D22">
        <f>C22-参数输入!$B$11</f>
        <v>1200</v>
      </c>
      <c r="E22" t="s">
        <v>234</v>
      </c>
    </row>
    <row r="23" spans="1:5" x14ac:dyDescent="0.3">
      <c r="A23" t="s">
        <v>235</v>
      </c>
      <c r="B23">
        <f>参数输入!$B$4</f>
        <v>3000</v>
      </c>
      <c r="C23">
        <f>参数输入!$B$4*25/30</f>
        <v>2500</v>
      </c>
      <c r="D23">
        <f>C23-参数输入!$B$11</f>
        <v>1700</v>
      </c>
      <c r="E23" t="s">
        <v>236</v>
      </c>
    </row>
    <row r="24" spans="1:5" x14ac:dyDescent="0.3">
      <c r="A24" t="s">
        <v>157</v>
      </c>
      <c r="B24">
        <f>参数输入!$B$4</f>
        <v>3000</v>
      </c>
      <c r="C24">
        <f>参数输入!$B$4*30/30</f>
        <v>3000</v>
      </c>
      <c r="D24">
        <f>C24-参数输入!$B$11</f>
        <v>2200</v>
      </c>
      <c r="E24" t="s">
        <v>237</v>
      </c>
    </row>
    <row r="25" spans="1:5" x14ac:dyDescent="0.3">
      <c r="A25" t="s">
        <v>238</v>
      </c>
      <c r="B25">
        <f>参数输入!$B$4</f>
        <v>3000</v>
      </c>
      <c r="C25">
        <f>参数输入!$B$4*35/30</f>
        <v>3500</v>
      </c>
      <c r="D25">
        <f>C25-参数输入!$B$11</f>
        <v>2700</v>
      </c>
      <c r="E25" t="s">
        <v>239</v>
      </c>
    </row>
    <row r="26" spans="1:5" x14ac:dyDescent="0.3">
      <c r="A26" t="s">
        <v>240</v>
      </c>
      <c r="B26">
        <f>参数输入!$B$4</f>
        <v>3000</v>
      </c>
      <c r="C26">
        <f>参数输入!$B$4*40/30</f>
        <v>4000</v>
      </c>
      <c r="D26">
        <f>C26-参数输入!$B$11</f>
        <v>3200</v>
      </c>
      <c r="E26" t="s">
        <v>241</v>
      </c>
    </row>
    <row r="28" spans="1:5" x14ac:dyDescent="0.3">
      <c r="A28" t="s">
        <v>242</v>
      </c>
    </row>
    <row r="30" spans="1:5" x14ac:dyDescent="0.3">
      <c r="A30" t="s">
        <v>243</v>
      </c>
      <c r="B30" t="s">
        <v>244</v>
      </c>
      <c r="C30" t="s">
        <v>245</v>
      </c>
    </row>
    <row r="31" spans="1:5" x14ac:dyDescent="0.3">
      <c r="A31" t="s">
        <v>246</v>
      </c>
      <c r="B31" t="s">
        <v>165</v>
      </c>
      <c r="C31" t="s">
        <v>247</v>
      </c>
    </row>
    <row r="32" spans="1:5" x14ac:dyDescent="0.3">
      <c r="A32" t="s">
        <v>24</v>
      </c>
      <c r="B32" t="s">
        <v>158</v>
      </c>
      <c r="C32" t="s">
        <v>248</v>
      </c>
    </row>
    <row r="33" spans="1:3" x14ac:dyDescent="0.3">
      <c r="A33" t="s">
        <v>249</v>
      </c>
      <c r="B33" t="s">
        <v>158</v>
      </c>
      <c r="C33" t="s">
        <v>250</v>
      </c>
    </row>
    <row r="34" spans="1:3" x14ac:dyDescent="0.3">
      <c r="A34" t="s">
        <v>251</v>
      </c>
      <c r="B34" t="s">
        <v>165</v>
      </c>
      <c r="C34" t="s">
        <v>252</v>
      </c>
    </row>
    <row r="35" spans="1:3" x14ac:dyDescent="0.3">
      <c r="A35" t="s">
        <v>253</v>
      </c>
      <c r="B35" t="s">
        <v>165</v>
      </c>
      <c r="C35" t="s">
        <v>254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38"/>
  <sheetViews>
    <sheetView workbookViewId="0">
      <selection activeCell="F27" sqref="F27"/>
    </sheetView>
  </sheetViews>
  <sheetFormatPr defaultRowHeight="14" x14ac:dyDescent="0.3"/>
  <sheetData>
    <row r="1" spans="1:1" x14ac:dyDescent="0.3">
      <c r="A1" t="s">
        <v>255</v>
      </c>
    </row>
    <row r="3" spans="1:1" x14ac:dyDescent="0.3">
      <c r="A3" t="s">
        <v>256</v>
      </c>
    </row>
    <row r="5" spans="1:1" x14ac:dyDescent="0.3">
      <c r="A5" t="s">
        <v>257</v>
      </c>
    </row>
    <row r="6" spans="1:1" x14ac:dyDescent="0.3">
      <c r="A6" t="s">
        <v>258</v>
      </c>
    </row>
    <row r="7" spans="1:1" x14ac:dyDescent="0.3">
      <c r="A7" t="s">
        <v>259</v>
      </c>
    </row>
    <row r="9" spans="1:1" x14ac:dyDescent="0.3">
      <c r="A9" t="s">
        <v>260</v>
      </c>
    </row>
    <row r="11" spans="1:1" x14ac:dyDescent="0.3">
      <c r="A11" t="s">
        <v>261</v>
      </c>
    </row>
    <row r="12" spans="1:1" x14ac:dyDescent="0.3">
      <c r="A12" t="s">
        <v>262</v>
      </c>
    </row>
    <row r="13" spans="1:1" x14ac:dyDescent="0.3">
      <c r="A13" t="s">
        <v>263</v>
      </c>
    </row>
    <row r="15" spans="1:1" x14ac:dyDescent="0.3">
      <c r="A15" t="s">
        <v>264</v>
      </c>
    </row>
    <row r="16" spans="1:1" x14ac:dyDescent="0.3">
      <c r="A16" t="s">
        <v>265</v>
      </c>
    </row>
    <row r="17" spans="1:1" x14ac:dyDescent="0.3">
      <c r="A17" t="s">
        <v>266</v>
      </c>
    </row>
    <row r="19" spans="1:1" x14ac:dyDescent="0.3">
      <c r="A19" t="s">
        <v>267</v>
      </c>
    </row>
    <row r="20" spans="1:1" x14ac:dyDescent="0.3">
      <c r="A20" t="s">
        <v>268</v>
      </c>
    </row>
    <row r="21" spans="1:1" x14ac:dyDescent="0.3">
      <c r="A21" t="s">
        <v>269</v>
      </c>
    </row>
    <row r="23" spans="1:1" x14ac:dyDescent="0.3">
      <c r="A23" t="s">
        <v>270</v>
      </c>
    </row>
    <row r="24" spans="1:1" x14ac:dyDescent="0.3">
      <c r="A24" t="s">
        <v>271</v>
      </c>
    </row>
    <row r="25" spans="1:1" x14ac:dyDescent="0.3">
      <c r="A25" t="s">
        <v>272</v>
      </c>
    </row>
    <row r="26" spans="1:1" x14ac:dyDescent="0.3">
      <c r="A26" t="s">
        <v>273</v>
      </c>
    </row>
    <row r="28" spans="1:1" x14ac:dyDescent="0.3">
      <c r="A28" t="s">
        <v>274</v>
      </c>
    </row>
    <row r="30" spans="1:1" x14ac:dyDescent="0.3">
      <c r="A30" t="s">
        <v>275</v>
      </c>
    </row>
    <row r="31" spans="1:1" x14ac:dyDescent="0.3">
      <c r="A31" t="s">
        <v>276</v>
      </c>
    </row>
    <row r="32" spans="1:1" x14ac:dyDescent="0.3">
      <c r="A32" t="s">
        <v>277</v>
      </c>
    </row>
    <row r="33" spans="1:1" x14ac:dyDescent="0.3">
      <c r="A33" t="s">
        <v>278</v>
      </c>
    </row>
    <row r="34" spans="1:1" x14ac:dyDescent="0.3">
      <c r="A34" t="s">
        <v>279</v>
      </c>
    </row>
    <row r="35" spans="1:1" x14ac:dyDescent="0.3">
      <c r="A35" t="s">
        <v>280</v>
      </c>
    </row>
    <row r="37" spans="1:1" x14ac:dyDescent="0.3">
      <c r="A37" t="s">
        <v>281</v>
      </c>
    </row>
    <row r="39" spans="1:1" x14ac:dyDescent="0.3">
      <c r="A39" t="s">
        <v>282</v>
      </c>
    </row>
    <row r="40" spans="1:1" x14ac:dyDescent="0.3">
      <c r="A40" t="s">
        <v>283</v>
      </c>
    </row>
    <row r="41" spans="1:1" x14ac:dyDescent="0.3">
      <c r="A41" t="s">
        <v>284</v>
      </c>
    </row>
    <row r="42" spans="1:1" x14ac:dyDescent="0.3">
      <c r="A42" t="s">
        <v>285</v>
      </c>
    </row>
    <row r="43" spans="1:1" x14ac:dyDescent="0.3">
      <c r="A43" t="s">
        <v>286</v>
      </c>
    </row>
    <row r="44" spans="1:1" x14ac:dyDescent="0.3">
      <c r="A44" t="s">
        <v>287</v>
      </c>
    </row>
    <row r="46" spans="1:1" x14ac:dyDescent="0.3">
      <c r="A46" t="s">
        <v>288</v>
      </c>
    </row>
    <row r="47" spans="1:1" x14ac:dyDescent="0.3">
      <c r="A47" t="s">
        <v>289</v>
      </c>
    </row>
    <row r="48" spans="1:1" x14ac:dyDescent="0.3">
      <c r="A48" t="s">
        <v>290</v>
      </c>
    </row>
    <row r="49" spans="1:1" x14ac:dyDescent="0.3">
      <c r="A49" t="s">
        <v>291</v>
      </c>
    </row>
    <row r="50" spans="1:1" x14ac:dyDescent="0.3">
      <c r="A50" t="s">
        <v>292</v>
      </c>
    </row>
    <row r="52" spans="1:1" x14ac:dyDescent="0.3">
      <c r="A52" t="s">
        <v>293</v>
      </c>
    </row>
    <row r="53" spans="1:1" x14ac:dyDescent="0.3">
      <c r="A53" t="s">
        <v>294</v>
      </c>
    </row>
    <row r="54" spans="1:1" x14ac:dyDescent="0.3">
      <c r="A54" t="s">
        <v>295</v>
      </c>
    </row>
    <row r="55" spans="1:1" x14ac:dyDescent="0.3">
      <c r="A55" t="s">
        <v>296</v>
      </c>
    </row>
    <row r="56" spans="1:1" x14ac:dyDescent="0.3">
      <c r="A56" t="s">
        <v>297</v>
      </c>
    </row>
    <row r="57" spans="1:1" x14ac:dyDescent="0.3">
      <c r="A57" t="s">
        <v>298</v>
      </c>
    </row>
    <row r="59" spans="1:1" x14ac:dyDescent="0.3">
      <c r="A59" t="s">
        <v>299</v>
      </c>
    </row>
    <row r="61" spans="1:1" x14ac:dyDescent="0.3">
      <c r="A61" t="s">
        <v>300</v>
      </c>
    </row>
    <row r="62" spans="1:1" x14ac:dyDescent="0.3">
      <c r="A62" t="s">
        <v>301</v>
      </c>
    </row>
    <row r="63" spans="1:1" x14ac:dyDescent="0.3">
      <c r="A63" t="s">
        <v>302</v>
      </c>
    </row>
    <row r="65" spans="1:1" x14ac:dyDescent="0.3">
      <c r="A65" t="s">
        <v>303</v>
      </c>
    </row>
    <row r="66" spans="1:1" x14ac:dyDescent="0.3">
      <c r="A66" t="s">
        <v>304</v>
      </c>
    </row>
    <row r="67" spans="1:1" x14ac:dyDescent="0.3">
      <c r="A67" t="s">
        <v>305</v>
      </c>
    </row>
    <row r="69" spans="1:1" x14ac:dyDescent="0.3">
      <c r="A69" t="s">
        <v>306</v>
      </c>
    </row>
    <row r="70" spans="1:1" x14ac:dyDescent="0.3">
      <c r="A70" t="s">
        <v>307</v>
      </c>
    </row>
    <row r="71" spans="1:1" x14ac:dyDescent="0.3">
      <c r="A71" t="s">
        <v>308</v>
      </c>
    </row>
    <row r="73" spans="1:1" x14ac:dyDescent="0.3">
      <c r="A73" t="s">
        <v>309</v>
      </c>
    </row>
    <row r="74" spans="1:1" x14ac:dyDescent="0.3">
      <c r="A74" t="s">
        <v>310</v>
      </c>
    </row>
    <row r="75" spans="1:1" x14ac:dyDescent="0.3">
      <c r="A75" t="s">
        <v>311</v>
      </c>
    </row>
    <row r="77" spans="1:1" x14ac:dyDescent="0.3">
      <c r="A77" t="s">
        <v>312</v>
      </c>
    </row>
    <row r="78" spans="1:1" x14ac:dyDescent="0.3">
      <c r="A78" t="s">
        <v>313</v>
      </c>
    </row>
    <row r="79" spans="1:1" x14ac:dyDescent="0.3">
      <c r="A79" t="s">
        <v>314</v>
      </c>
    </row>
    <row r="81" spans="1:1" x14ac:dyDescent="0.3">
      <c r="A81" t="s">
        <v>315</v>
      </c>
    </row>
    <row r="83" spans="1:1" x14ac:dyDescent="0.3">
      <c r="A83" t="s">
        <v>316</v>
      </c>
    </row>
    <row r="84" spans="1:1" x14ac:dyDescent="0.3">
      <c r="A84" t="s">
        <v>317</v>
      </c>
    </row>
    <row r="85" spans="1:1" x14ac:dyDescent="0.3">
      <c r="A85" t="s">
        <v>318</v>
      </c>
    </row>
    <row r="86" spans="1:1" x14ac:dyDescent="0.3">
      <c r="A86" t="s">
        <v>319</v>
      </c>
    </row>
    <row r="87" spans="1:1" x14ac:dyDescent="0.3">
      <c r="A87" t="s">
        <v>320</v>
      </c>
    </row>
    <row r="88" spans="1:1" x14ac:dyDescent="0.3">
      <c r="A88" t="s">
        <v>321</v>
      </c>
    </row>
    <row r="89" spans="1:1" x14ac:dyDescent="0.3">
      <c r="A89" t="s">
        <v>322</v>
      </c>
    </row>
    <row r="91" spans="1:1" x14ac:dyDescent="0.3">
      <c r="A91" t="s">
        <v>323</v>
      </c>
    </row>
    <row r="93" spans="1:1" x14ac:dyDescent="0.3">
      <c r="A93" t="s">
        <v>324</v>
      </c>
    </row>
    <row r="94" spans="1:1" x14ac:dyDescent="0.3">
      <c r="A94" t="s">
        <v>325</v>
      </c>
    </row>
    <row r="95" spans="1:1" x14ac:dyDescent="0.3">
      <c r="A95" t="s">
        <v>326</v>
      </c>
    </row>
    <row r="96" spans="1:1" x14ac:dyDescent="0.3">
      <c r="A96" t="s">
        <v>325</v>
      </c>
    </row>
    <row r="97" spans="1:1" x14ac:dyDescent="0.3">
      <c r="A97" t="s">
        <v>327</v>
      </c>
    </row>
    <row r="98" spans="1:1" x14ac:dyDescent="0.3">
      <c r="A98" t="s">
        <v>325</v>
      </c>
    </row>
    <row r="99" spans="1:1" x14ac:dyDescent="0.3">
      <c r="A99" t="s">
        <v>328</v>
      </c>
    </row>
    <row r="100" spans="1:1" x14ac:dyDescent="0.3">
      <c r="A100" t="s">
        <v>329</v>
      </c>
    </row>
    <row r="101" spans="1:1" x14ac:dyDescent="0.3">
      <c r="A101" t="s">
        <v>330</v>
      </c>
    </row>
    <row r="102" spans="1:1" x14ac:dyDescent="0.3">
      <c r="A102" t="s">
        <v>331</v>
      </c>
    </row>
    <row r="103" spans="1:1" x14ac:dyDescent="0.3">
      <c r="A103" t="s">
        <v>325</v>
      </c>
    </row>
    <row r="104" spans="1:1" x14ac:dyDescent="0.3">
      <c r="A104" t="s">
        <v>332</v>
      </c>
    </row>
    <row r="105" spans="1:1" x14ac:dyDescent="0.3">
      <c r="A105" t="s">
        <v>325</v>
      </c>
    </row>
    <row r="106" spans="1:1" x14ac:dyDescent="0.3">
      <c r="A106" t="s">
        <v>333</v>
      </c>
    </row>
    <row r="107" spans="1:1" x14ac:dyDescent="0.3">
      <c r="A107" t="s">
        <v>334</v>
      </c>
    </row>
    <row r="108" spans="1:1" x14ac:dyDescent="0.3">
      <c r="A108" t="s">
        <v>335</v>
      </c>
    </row>
    <row r="109" spans="1:1" x14ac:dyDescent="0.3">
      <c r="A109" t="s">
        <v>325</v>
      </c>
    </row>
    <row r="110" spans="1:1" x14ac:dyDescent="0.3">
      <c r="A110" t="s">
        <v>336</v>
      </c>
    </row>
    <row r="111" spans="1:1" x14ac:dyDescent="0.3">
      <c r="A111" t="s">
        <v>325</v>
      </c>
    </row>
    <row r="112" spans="1:1" x14ac:dyDescent="0.3">
      <c r="A112" t="s">
        <v>337</v>
      </c>
    </row>
    <row r="114" spans="1:1" x14ac:dyDescent="0.3">
      <c r="A114" t="s">
        <v>338</v>
      </c>
    </row>
    <row r="116" spans="1:1" x14ac:dyDescent="0.3">
      <c r="A116" t="s">
        <v>339</v>
      </c>
    </row>
    <row r="117" spans="1:1" x14ac:dyDescent="0.3">
      <c r="A117" t="s">
        <v>340</v>
      </c>
    </row>
    <row r="118" spans="1:1" x14ac:dyDescent="0.3">
      <c r="A118" t="s">
        <v>341</v>
      </c>
    </row>
    <row r="119" spans="1:1" x14ac:dyDescent="0.3">
      <c r="A119" t="s">
        <v>342</v>
      </c>
    </row>
    <row r="120" spans="1:1" x14ac:dyDescent="0.3">
      <c r="A120" t="s">
        <v>343</v>
      </c>
    </row>
    <row r="122" spans="1:1" x14ac:dyDescent="0.3">
      <c r="A122" t="s">
        <v>344</v>
      </c>
    </row>
    <row r="124" spans="1:1" x14ac:dyDescent="0.3">
      <c r="A124" t="s">
        <v>345</v>
      </c>
    </row>
    <row r="125" spans="1:1" x14ac:dyDescent="0.3">
      <c r="A125" t="s">
        <v>346</v>
      </c>
    </row>
    <row r="126" spans="1:1" x14ac:dyDescent="0.3">
      <c r="A126" t="s">
        <v>347</v>
      </c>
    </row>
    <row r="127" spans="1:1" x14ac:dyDescent="0.3">
      <c r="A127" t="s">
        <v>348</v>
      </c>
    </row>
    <row r="128" spans="1:1" x14ac:dyDescent="0.3">
      <c r="A128" t="s">
        <v>349</v>
      </c>
    </row>
    <row r="129" spans="1:1" x14ac:dyDescent="0.3">
      <c r="A129" t="s">
        <v>350</v>
      </c>
    </row>
    <row r="130" spans="1:1" x14ac:dyDescent="0.3">
      <c r="A130" t="s">
        <v>351</v>
      </c>
    </row>
    <row r="132" spans="1:1" x14ac:dyDescent="0.3">
      <c r="A132" t="s">
        <v>352</v>
      </c>
    </row>
    <row r="134" spans="1:1" x14ac:dyDescent="0.3">
      <c r="A134" t="s">
        <v>353</v>
      </c>
    </row>
    <row r="135" spans="1:1" x14ac:dyDescent="0.3">
      <c r="A135" t="s">
        <v>354</v>
      </c>
    </row>
    <row r="136" spans="1:1" x14ac:dyDescent="0.3">
      <c r="A136" t="s">
        <v>355</v>
      </c>
    </row>
    <row r="137" spans="1:1" x14ac:dyDescent="0.3">
      <c r="A137" t="s">
        <v>356</v>
      </c>
    </row>
    <row r="138" spans="1:1" x14ac:dyDescent="0.3">
      <c r="A138" t="s">
        <v>357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参数输入</vt:lpstr>
      <vt:lpstr>周转计算</vt:lpstr>
      <vt:lpstr>策略对比</vt:lpstr>
      <vt:lpstr>敏感度分析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T195238</dc:creator>
  <cp:lastModifiedBy>T195238</cp:lastModifiedBy>
  <dcterms:created xsi:type="dcterms:W3CDTF">2026-05-27T08:52:42Z</dcterms:created>
  <dcterms:modified xsi:type="dcterms:W3CDTF">2026-05-27T09:18:19Z</dcterms:modified>
</cp:coreProperties>
</file>