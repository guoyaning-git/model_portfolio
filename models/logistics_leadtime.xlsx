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溜溜球\简\策略模型\"/>
    </mc:Choice>
  </mc:AlternateContent>
  <xr:revisionPtr revIDLastSave="0" documentId="13_ncr:1_{95B4F4EE-8938-432A-868C-68BC8946D56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参数输入" sheetId="1" r:id="rId1"/>
    <sheet name="时效计算" sheetId="2" r:id="rId2"/>
    <sheet name="策略对比" sheetId="3" r:id="rId3"/>
    <sheet name="敏感度分析" sheetId="4" r:id="rId4"/>
    <sheet name="使用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C5" i="4"/>
  <c r="C4" i="4"/>
  <c r="E8" i="3"/>
  <c r="D8" i="3"/>
  <c r="F55" i="2"/>
  <c r="D55" i="2"/>
  <c r="D54" i="2"/>
  <c r="F54" i="2" s="1"/>
  <c r="D53" i="2"/>
  <c r="F53" i="2" s="1"/>
  <c r="D52" i="2"/>
  <c r="F52" i="2" s="1"/>
  <c r="D51" i="2"/>
  <c r="F51" i="2" s="1"/>
  <c r="D50" i="2"/>
  <c r="F50" i="2" s="1"/>
  <c r="B38" i="2"/>
  <c r="D33" i="2"/>
  <c r="C33" i="2"/>
  <c r="E33" i="2" s="1"/>
  <c r="D32" i="2"/>
  <c r="C32" i="2"/>
  <c r="E32" i="2" s="1"/>
  <c r="D31" i="2"/>
  <c r="C31" i="2"/>
  <c r="E31" i="2" s="1"/>
  <c r="D30" i="2"/>
  <c r="C30" i="2"/>
  <c r="E30" i="2" s="1"/>
  <c r="D29" i="2"/>
  <c r="C29" i="2"/>
  <c r="E29" i="2" s="1"/>
  <c r="D28" i="2"/>
  <c r="C28" i="2"/>
  <c r="E28" i="2" s="1"/>
  <c r="D27" i="2"/>
  <c r="C27" i="2"/>
  <c r="E27" i="2" s="1"/>
  <c r="G26" i="2"/>
  <c r="E26" i="2"/>
  <c r="F26" i="2" s="1"/>
  <c r="F8" i="3" s="1"/>
  <c r="D26" i="2"/>
  <c r="C26" i="2"/>
  <c r="D25" i="2"/>
  <c r="C25" i="2"/>
  <c r="E25" i="2" s="1"/>
  <c r="D24" i="2"/>
  <c r="C24" i="2"/>
  <c r="E24" i="2" s="1"/>
  <c r="D23" i="2"/>
  <c r="C23" i="2"/>
  <c r="E23" i="2" s="1"/>
  <c r="D22" i="2"/>
  <c r="C22" i="2"/>
  <c r="E22" i="2" s="1"/>
  <c r="D21" i="2"/>
  <c r="C21" i="2"/>
  <c r="E21" i="2" s="1"/>
  <c r="D16" i="2"/>
  <c r="E16" i="2" s="1"/>
  <c r="C16" i="2"/>
  <c r="F16" i="2" s="1"/>
  <c r="D15" i="2"/>
  <c r="E15" i="2" s="1"/>
  <c r="C15" i="2"/>
  <c r="F15" i="2" s="1"/>
  <c r="D14" i="2"/>
  <c r="E14" i="2" s="1"/>
  <c r="C14" i="2"/>
  <c r="F14" i="2" s="1"/>
  <c r="D13" i="2"/>
  <c r="E13" i="2" s="1"/>
  <c r="C13" i="2"/>
  <c r="F13" i="2" s="1"/>
  <c r="F12" i="2"/>
  <c r="D12" i="2"/>
  <c r="E12" i="2" s="1"/>
  <c r="C12" i="2"/>
  <c r="E11" i="2"/>
  <c r="D11" i="2"/>
  <c r="C11" i="2"/>
  <c r="F11" i="2" s="1"/>
  <c r="D10" i="2"/>
  <c r="E10" i="2" s="1"/>
  <c r="C10" i="2"/>
  <c r="F10" i="2" s="1"/>
  <c r="D9" i="2"/>
  <c r="E9" i="2" s="1"/>
  <c r="C9" i="2"/>
  <c r="F9" i="2" s="1"/>
  <c r="D8" i="2"/>
  <c r="E8" i="2" s="1"/>
  <c r="C8" i="2"/>
  <c r="F8" i="2" s="1"/>
  <c r="D7" i="2"/>
  <c r="E7" i="2" s="1"/>
  <c r="C7" i="2"/>
  <c r="F7" i="2" s="1"/>
  <c r="F6" i="2"/>
  <c r="D6" i="2"/>
  <c r="E6" i="2" s="1"/>
  <c r="C6" i="2"/>
  <c r="E5" i="2"/>
  <c r="D5" i="2"/>
  <c r="C5" i="2"/>
  <c r="F5" i="2" s="1"/>
  <c r="D4" i="2"/>
  <c r="E4" i="2" s="1"/>
  <c r="C4" i="2"/>
  <c r="F4" i="2" s="1"/>
  <c r="C51" i="2" l="1"/>
  <c r="E51" i="2" s="1"/>
  <c r="G51" i="2" s="1"/>
  <c r="C21" i="3"/>
  <c r="B21" i="3"/>
  <c r="E4" i="3"/>
  <c r="G22" i="2"/>
  <c r="D4" i="3"/>
  <c r="F22" i="2"/>
  <c r="F4" i="3" s="1"/>
  <c r="G24" i="2"/>
  <c r="E9" i="3"/>
  <c r="D9" i="3"/>
  <c r="F24" i="2"/>
  <c r="F9" i="3" s="1"/>
  <c r="C53" i="2"/>
  <c r="E53" i="2" s="1"/>
  <c r="G53" i="2" s="1"/>
  <c r="E11" i="3"/>
  <c r="D11" i="3"/>
  <c r="G29" i="2"/>
  <c r="F29" i="2"/>
  <c r="F11" i="3" s="1"/>
  <c r="G30" i="2"/>
  <c r="F30" i="2"/>
  <c r="F14" i="3" s="1"/>
  <c r="E14" i="3"/>
  <c r="D14" i="3"/>
  <c r="D28" i="3"/>
  <c r="C28" i="3"/>
  <c r="B28" i="3"/>
  <c r="B23" i="3"/>
  <c r="D23" i="3" s="1"/>
  <c r="G21" i="2"/>
  <c r="F21" i="2"/>
  <c r="C50" i="2"/>
  <c r="E50" i="2" s="1"/>
  <c r="G50" i="2" s="1"/>
  <c r="B45" i="2"/>
  <c r="B44" i="2"/>
  <c r="B43" i="2"/>
  <c r="E6" i="3"/>
  <c r="D6" i="3"/>
  <c r="C23" i="3"/>
  <c r="E23" i="3" s="1"/>
  <c r="E13" i="3"/>
  <c r="D13" i="3"/>
  <c r="G31" i="2"/>
  <c r="F31" i="2"/>
  <c r="F13" i="3" s="1"/>
  <c r="D16" i="3"/>
  <c r="E16" i="3"/>
  <c r="G32" i="2"/>
  <c r="F32" i="2"/>
  <c r="F16" i="3" s="1"/>
  <c r="C22" i="3"/>
  <c r="B22" i="3"/>
  <c r="C52" i="2"/>
  <c r="E52" i="2" s="1"/>
  <c r="G52" i="2" s="1"/>
  <c r="G23" i="2"/>
  <c r="F23" i="2"/>
  <c r="F5" i="3" s="1"/>
  <c r="E5" i="3"/>
  <c r="D5" i="3"/>
  <c r="D12" i="3"/>
  <c r="G27" i="2"/>
  <c r="F27" i="2"/>
  <c r="F12" i="3" s="1"/>
  <c r="E12" i="3"/>
  <c r="E15" i="3"/>
  <c r="D15" i="3"/>
  <c r="G33" i="2"/>
  <c r="F33" i="2"/>
  <c r="F15" i="3" s="1"/>
  <c r="G25" i="2"/>
  <c r="F25" i="2"/>
  <c r="F7" i="3" s="1"/>
  <c r="C54" i="2"/>
  <c r="E54" i="2" s="1"/>
  <c r="G54" i="2" s="1"/>
  <c r="D7" i="3"/>
  <c r="E7" i="3"/>
  <c r="E10" i="3"/>
  <c r="D10" i="3"/>
  <c r="G28" i="2"/>
  <c r="F28" i="2"/>
  <c r="F10" i="3" s="1"/>
  <c r="C55" i="2"/>
  <c r="E55" i="2" s="1"/>
  <c r="G55" i="2" s="1"/>
  <c r="E22" i="3" l="1"/>
  <c r="D22" i="3"/>
  <c r="E28" i="3"/>
  <c r="E21" i="3"/>
  <c r="D21" i="3"/>
  <c r="B40" i="2"/>
  <c r="B39" i="2"/>
  <c r="B41" i="2"/>
  <c r="F6" i="3"/>
  <c r="B42" i="2"/>
</calcChain>
</file>

<file path=xl/sharedStrings.xml><?xml version="1.0" encoding="utf-8"?>
<sst xmlns="http://schemas.openxmlformats.org/spreadsheetml/2006/main" count="404" uniqueCount="268">
  <si>
    <t>【基础业务参数】</t>
  </si>
  <si>
    <t>参数名称</t>
  </si>
  <si>
    <t>参数值</t>
  </si>
  <si>
    <t>单位</t>
  </si>
  <si>
    <t>备注</t>
  </si>
  <si>
    <t>日均销量</t>
  </si>
  <si>
    <t>件/天</t>
  </si>
  <si>
    <t>产品单价</t>
  </si>
  <si>
    <t>元/件</t>
  </si>
  <si>
    <t>客户容忍时效</t>
  </si>
  <si>
    <t>天</t>
  </si>
  <si>
    <t>超过可能产生客诉</t>
  </si>
  <si>
    <t>标准预警阈值</t>
  </si>
  <si>
    <t>小时</t>
  </si>
  <si>
    <t>超过算异常</t>
  </si>
  <si>
    <t>严重预警阈值</t>
  </si>
  <si>
    <t>超过算严重异常</t>
  </si>
  <si>
    <t>【头程时效参数】</t>
  </si>
  <si>
    <t>路线</t>
  </si>
  <si>
    <t>运输方式</t>
  </si>
  <si>
    <t>标准时效(小时)</t>
  </si>
  <si>
    <t>标准时效(天)</t>
  </si>
  <si>
    <t>运费(元/kg)</t>
  </si>
  <si>
    <t>单件重量(kg)</t>
  </si>
  <si>
    <t>固定成本(元/票)</t>
  </si>
  <si>
    <t>美西</t>
  </si>
  <si>
    <t>海运</t>
  </si>
  <si>
    <t>空运</t>
  </si>
  <si>
    <t>铁运</t>
  </si>
  <si>
    <t>美东</t>
  </si>
  <si>
    <t>欧洲</t>
  </si>
  <si>
    <t>东南亚</t>
  </si>
  <si>
    <t>日韩</t>
  </si>
  <si>
    <t>【尾程时效参数】</t>
  </si>
  <si>
    <t>服务商</t>
  </si>
  <si>
    <t>首重(kg)</t>
  </si>
  <si>
    <t>首重价格(元)</t>
  </si>
  <si>
    <t>续重单价(元/kg)</t>
  </si>
  <si>
    <t>USPS</t>
  </si>
  <si>
    <t>FedEx</t>
  </si>
  <si>
    <t>DPD</t>
  </si>
  <si>
    <t>UPS</t>
  </si>
  <si>
    <t>J&amp;T</t>
  </si>
  <si>
    <t>DHL</t>
  </si>
  <si>
    <t>佐川</t>
  </si>
  <si>
    <t>Yamato</t>
  </si>
  <si>
    <t>【时效权重参数】</t>
  </si>
  <si>
    <t>权重项</t>
  </si>
  <si>
    <t>权重</t>
  </si>
  <si>
    <t>说明</t>
  </si>
  <si>
    <t>时效权重</t>
  </si>
  <si>
    <t>时效优先型产品</t>
  </si>
  <si>
    <t>成本权重</t>
  </si>
  <si>
    <t>【约束参数】</t>
  </si>
  <si>
    <t>约束项</t>
  </si>
  <si>
    <t>最大容忍时效</t>
  </si>
  <si>
    <t>目标时效</t>
  </si>
  <si>
    <t>【头程时效分析】</t>
  </si>
  <si>
    <t>单件运费(元)</t>
  </si>
  <si>
    <t>单件头程成本(元)</t>
  </si>
  <si>
    <t>时效等级</t>
  </si>
  <si>
    <t>【全链路时效计算】</t>
  </si>
  <si>
    <t>头程时效(天)</t>
  </si>
  <si>
    <t>尾程时效(天)</t>
  </si>
  <si>
    <t>全链路时效(天)</t>
  </si>
  <si>
    <t>是否超客户容忍</t>
  </si>
  <si>
    <t>【时效汇总统计】</t>
  </si>
  <si>
    <t>统计项</t>
  </si>
  <si>
    <t>数值</t>
  </si>
  <si>
    <t>总路线数</t>
  </si>
  <si>
    <t>时效优秀(≤3天)</t>
  </si>
  <si>
    <t>时效正常(≤5天)</t>
  </si>
  <si>
    <t>时效超时(&gt;5天)</t>
  </si>
  <si>
    <t>超客户容忍</t>
  </si>
  <si>
    <t>平均全链路时效(天)</t>
  </si>
  <si>
    <t>最快渠道</t>
  </si>
  <si>
    <t>最慢渠道</t>
  </si>
  <si>
    <t>【时效与成本关系】</t>
  </si>
  <si>
    <t>时效评分(1-10)</t>
  </si>
  <si>
    <t>成本评分(1-10)</t>
  </si>
  <si>
    <t>综合评分</t>
  </si>
  <si>
    <t>【物流时效策略对比】</t>
  </si>
  <si>
    <t>策略类型</t>
  </si>
  <si>
    <t>适用场景</t>
  </si>
  <si>
    <t>推荐路线组合</t>
  </si>
  <si>
    <t>平均时效(天)</t>
  </si>
  <si>
    <t>平均成本(元/件)</t>
  </si>
  <si>
    <t>优缺点</t>
  </si>
  <si>
    <t>时效优先</t>
  </si>
  <si>
    <t>高毛利、急用、新品测款</t>
  </si>
  <si>
    <t>空运 + 快速尾程</t>
  </si>
  <si>
    <t>优点：快、资金周转快；缺点：贵</t>
  </si>
  <si>
    <t>平衡策略</t>
  </si>
  <si>
    <t>常规产品、性价比</t>
  </si>
  <si>
    <t>铁运 + 标准尾程</t>
  </si>
  <si>
    <t>优点：性价比高；缺点：速度中等</t>
  </si>
  <si>
    <t>成本优先</t>
  </si>
  <si>
    <t>低毛利、不着急、大货</t>
  </si>
  <si>
    <t>海运 + 经济尾程</t>
  </si>
  <si>
    <t>优点：便宜；缺点：慢、占资金</t>
  </si>
  <si>
    <t>美东时效优先</t>
  </si>
  <si>
    <t>美东高毛利产品</t>
  </si>
  <si>
    <t>美东空运 + 美东快速</t>
  </si>
  <si>
    <t>美东空运时效56小时</t>
  </si>
  <si>
    <t>美东平衡策略</t>
  </si>
  <si>
    <t>美东常规产品</t>
  </si>
  <si>
    <t>美东铁运 + 美东标准</t>
  </si>
  <si>
    <t>美东铁运600小时</t>
  </si>
  <si>
    <t>美东成本优先</t>
  </si>
  <si>
    <t>美东低价产品</t>
  </si>
  <si>
    <t>美东海运 + 美东经济</t>
  </si>
  <si>
    <t>美东海运20天</t>
  </si>
  <si>
    <t>欧洲时效优先</t>
  </si>
  <si>
    <t>欧洲高毛利</t>
  </si>
  <si>
    <t>欧洲空运 + 欧洲快速</t>
  </si>
  <si>
    <t>欧洲空运60小时</t>
  </si>
  <si>
    <t>欧洲平衡策略</t>
  </si>
  <si>
    <t>欧洲常规</t>
  </si>
  <si>
    <t>欧洲铁运 + 欧洲标准</t>
  </si>
  <si>
    <t>欧洲铁运15天</t>
  </si>
  <si>
    <t>欧洲成本优先</t>
  </si>
  <si>
    <t>欧洲低价</t>
  </si>
  <si>
    <t>欧洲海运 + 欧洲经济</t>
  </si>
  <si>
    <t>欧洲海运30天</t>
  </si>
  <si>
    <t>东南亚时效优先</t>
  </si>
  <si>
    <t>东南亚急用</t>
  </si>
  <si>
    <t>东南亚空运 + DHL</t>
  </si>
  <si>
    <t>东南亚空运24小时</t>
  </si>
  <si>
    <t>东南亚成本优先</t>
  </si>
  <si>
    <t>东南亚大货</t>
  </si>
  <si>
    <t>东南亚海运 + J&amp;T</t>
  </si>
  <si>
    <t>东南亚海运5天</t>
  </si>
  <si>
    <t>日韩时效优先</t>
  </si>
  <si>
    <t>日韩急用</t>
  </si>
  <si>
    <t>日韩空运 + 佐川</t>
  </si>
  <si>
    <t>日韩空运12小时</t>
  </si>
  <si>
    <t>日韩成本优先</t>
  </si>
  <si>
    <t>日韩大货</t>
  </si>
  <si>
    <t>日韩海运 + 佐川</t>
  </si>
  <si>
    <t>日韩海运4天</t>
  </si>
  <si>
    <t>【时效成本对比分析】</t>
  </si>
  <si>
    <t>策略</t>
  </si>
  <si>
    <t>时效(天)</t>
  </si>
  <si>
    <t>成本(元/件)</t>
  </si>
  <si>
    <t>时效比成本</t>
  </si>
  <si>
    <t>推荐指数</t>
  </si>
  <si>
    <t>【路线效率排名】</t>
  </si>
  <si>
    <t>排名</t>
  </si>
  <si>
    <t>【时效敏感度分析】</t>
  </si>
  <si>
    <t>时效变化因素</t>
  </si>
  <si>
    <t>变化幅度</t>
  </si>
  <si>
    <t>时效影响(天)</t>
  </si>
  <si>
    <t>成本影响(元)</t>
  </si>
  <si>
    <t>建议</t>
  </si>
  <si>
    <t>头程延误</t>
  </si>
  <si>
    <t>提前备货、增加安全库存</t>
  </si>
  <si>
    <t>切换备用渠道</t>
  </si>
  <si>
    <t>清关延误</t>
  </si>
  <si>
    <t>+5天</t>
  </si>
  <si>
    <t>选择包税渠道</t>
  </si>
  <si>
    <t>尾程延误</t>
  </si>
  <si>
    <t>+2天</t>
  </si>
  <si>
    <t>更换尾程服务商</t>
  </si>
  <si>
    <t>【销量对时效策略的影响】</t>
  </si>
  <si>
    <t>推荐策略</t>
  </si>
  <si>
    <t>理由</t>
  </si>
  <si>
    <t>&lt;50件</t>
  </si>
  <si>
    <t>销量小，可承受较高运费</t>
  </si>
  <si>
    <t>50-200件</t>
  </si>
  <si>
    <t>性价比最高</t>
  </si>
  <si>
    <t>&gt;200件</t>
  </si>
  <si>
    <t>量大，分摊固定成本</t>
  </si>
  <si>
    <t>【产品单价对时效策略的影响】</t>
  </si>
  <si>
    <t>产品单价(元)</t>
  </si>
  <si>
    <t>时效容忍度</t>
  </si>
  <si>
    <t>&lt;20</t>
  </si>
  <si>
    <t>客户价格敏感，可接受慢时效</t>
  </si>
  <si>
    <t>20-100</t>
  </si>
  <si>
    <t>&gt;100</t>
  </si>
  <si>
    <t>高价值，客户期待快时效</t>
  </si>
  <si>
    <t>【敏感度结论】</t>
  </si>
  <si>
    <t>敏感因素</t>
  </si>
  <si>
    <t>影响程度</t>
  </si>
  <si>
    <t>控制建议</t>
  </si>
  <si>
    <t>头程运输</t>
  </si>
  <si>
    <t>高</t>
  </si>
  <si>
    <t>选择稳定物流商，签订SLA</t>
  </si>
  <si>
    <t>清关效率</t>
  </si>
  <si>
    <t>中</t>
  </si>
  <si>
    <t>选择包税渠道，提前准备资料</t>
  </si>
  <si>
    <t>尾程派送</t>
  </si>
  <si>
    <t>多备用渠道，监控妥投率</t>
  </si>
  <si>
    <t>季节性波动</t>
  </si>
  <si>
    <t>旺季前2个月开始备货</t>
  </si>
  <si>
    <t>【物流时效策略模型使用说明】</t>
  </si>
  <si>
    <t>一、模型核心逻辑</t>
  </si>
  <si>
    <t>本模型基于头程时效 + 尾程时效，计算全链路物流时效，</t>
  </si>
  <si>
    <t>支持时效优先、平衡策略、成本优先三种策略对比，</t>
  </si>
  <si>
    <t>帮助选择最合适的物流渠道组合。</t>
  </si>
  <si>
    <t>二、时效计算公式</t>
  </si>
  <si>
    <t>头程时效 = 从发货到海外仓入库的天数</t>
  </si>
  <si>
    <t>尾程时效 = 从海外仓出库到客户签收的天数</t>
  </si>
  <si>
    <t>全链路时效 = 头程时效 + 尾程时效</t>
  </si>
  <si>
    <t>三、三种时效策略</t>
  </si>
  <si>
    <t>1. 时效优先策略</t>
  </si>
  <si>
    <t xml:space="preserve">   - 渠道：空运 + 快速尾程</t>
  </si>
  <si>
    <t xml:space="preserve">   - 适用：高毛利产品、紧急补货、新品测款</t>
  </si>
  <si>
    <t xml:space="preserve">   - 优点：时效快（2-5天），客户体验好</t>
  </si>
  <si>
    <t xml:space="preserve">   - 缺点：成本高</t>
  </si>
  <si>
    <t>2. 平衡策略（推荐）</t>
  </si>
  <si>
    <t xml:space="preserve">   - 渠道：铁运 + 标准尾程</t>
  </si>
  <si>
    <t xml:space="preserve">   - 适用：常规产品、大多数SKU</t>
  </si>
  <si>
    <t xml:space="preserve">   - 优点：性价比最高</t>
  </si>
  <si>
    <t xml:space="preserve">   - 缺点：时效中等（7-15天）</t>
  </si>
  <si>
    <t>3. 成本优先策略</t>
  </si>
  <si>
    <t xml:space="preserve">   - 渠道：海运 + 经济尾程</t>
  </si>
  <si>
    <t xml:space="preserve">   - 适用：低毛利产品、大货备货</t>
  </si>
  <si>
    <t xml:space="preserve">   - 优点：成本低</t>
  </si>
  <si>
    <t xml:space="preserve">   - 缺点：时效慢（20-45天）</t>
  </si>
  <si>
    <t>四、时效等级标准</t>
  </si>
  <si>
    <t>| 等级 | 时效范围 | 标识 |</t>
  </si>
  <si>
    <t>|------|----------|------|</t>
  </si>
  <si>
    <t>| 优秀 | ≤3天 | 🟢 |</t>
  </si>
  <si>
    <t>| 正常 | 4-5天 | 🟡 |</t>
  </si>
  <si>
    <t>| 超时 | &gt;5天 | 🔴 |</t>
  </si>
  <si>
    <t>五、使用步骤</t>
  </si>
  <si>
    <t>1. 在【参数输入】Sheet填写基础参数</t>
  </si>
  <si>
    <t xml:space="preserve">   - 日均销量、产品单价</t>
  </si>
  <si>
    <t xml:space="preserve">   - 客户容忍时效（影响决策）</t>
  </si>
  <si>
    <t>2. 查看【时效计算】Sheet</t>
  </si>
  <si>
    <t xml:space="preserve">   - 各路线全链路时效</t>
  </si>
  <si>
    <t xml:space="preserve">   - 时效等级和预警</t>
  </si>
  <si>
    <t>3. 在【策略对比】Sheet选择策略</t>
  </si>
  <si>
    <t xml:space="preserve">   - 根据产品特点选择</t>
  </si>
  <si>
    <t xml:space="preserve">   - 查看时效成本对比</t>
  </si>
  <si>
    <t>4. 使用【敏感度分析】评估风险</t>
  </si>
  <si>
    <t xml:space="preserve">   - 头程延误的影响</t>
  </si>
  <si>
    <t xml:space="preserve">   - 销量/单价对策略的影响</t>
  </si>
  <si>
    <t>六、决策流程图</t>
  </si>
  <si>
    <t>开始</t>
  </si>
  <si>
    <t xml:space="preserve">  ↓</t>
  </si>
  <si>
    <t>判断产品类型</t>
  </si>
  <si>
    <t>高毛利/急用 → 时效优先（空运+快速尾程）</t>
  </si>
  <si>
    <t>常规产品 → 平衡策略（铁运+标准尾程）</t>
  </si>
  <si>
    <t>低毛利/大货 → 成本优先（海运+经济尾程）</t>
  </si>
  <si>
    <t>查看全链路时效</t>
  </si>
  <si>
    <t>是否超过客户容忍？→ 是 → 升级渠道</t>
  </si>
  <si>
    <t xml:space="preserve">  ↓ 否</t>
  </si>
  <si>
    <t>执行发货</t>
  </si>
  <si>
    <t>监控时效，异常预警</t>
  </si>
  <si>
    <t>七、注意事项</t>
  </si>
  <si>
    <t>⚠️ 旺季前物流商会涨价，时效也会变慢</t>
  </si>
  <si>
    <t>⚠️ 空运虽快但受航班影响，不稳定</t>
  </si>
  <si>
    <t>⚠️ 海运时效受港口拥堵影响大</t>
  </si>
  <si>
    <t>⚠️ 铁运是性价比选择，但受铁路运力限制</t>
  </si>
  <si>
    <t>⚠️ 尾程时效受当地物流商影响</t>
  </si>
  <si>
    <t>八、异常处理建议</t>
  </si>
  <si>
    <t>| 异常情况 | 应对措施 |</t>
  </si>
  <si>
    <t>|----------|----------|</t>
  </si>
  <si>
    <t>| 头程延误 | 增加安全库存，切换备用渠道 |</t>
  </si>
  <si>
    <t>| 清关延误 | 提前准备资料，选择包税渠道 |</t>
  </si>
  <si>
    <t>| 尾程延误 | 更换服务商，投诉索赔 |</t>
  </si>
  <si>
    <t>| 旺季爆仓 | 提前2个月备货 |</t>
  </si>
  <si>
    <t>九、模型维护</t>
  </si>
  <si>
    <t>📅 每周：更新实际时效数据</t>
  </si>
  <si>
    <t>📅 每月：更新物流商报价</t>
  </si>
  <si>
    <t>📅 每季度：复盘渠道表现</t>
  </si>
  <si>
    <t>📅 每年：重新评估策略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</si>
</sst>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K36" sqref="K36"/>
    </sheetView>
  </sheetViews>
  <sheetFormatPr defaultRowHeight="14" x14ac:dyDescent="0.3"/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</row>
    <row r="3" spans="1:7" x14ac:dyDescent="0.3">
      <c r="A3" t="s">
        <v>5</v>
      </c>
      <c r="B3">
        <v>100</v>
      </c>
      <c r="C3" t="s">
        <v>6</v>
      </c>
    </row>
    <row r="4" spans="1:7" x14ac:dyDescent="0.3">
      <c r="A4" t="s">
        <v>7</v>
      </c>
      <c r="B4">
        <v>50</v>
      </c>
      <c r="C4" t="s">
        <v>8</v>
      </c>
    </row>
    <row r="5" spans="1:7" x14ac:dyDescent="0.3">
      <c r="A5" t="s">
        <v>9</v>
      </c>
      <c r="B5">
        <v>7</v>
      </c>
      <c r="C5" t="s">
        <v>10</v>
      </c>
      <c r="D5" t="s">
        <v>11</v>
      </c>
    </row>
    <row r="6" spans="1:7" x14ac:dyDescent="0.3">
      <c r="A6" t="s">
        <v>12</v>
      </c>
      <c r="B6">
        <v>48</v>
      </c>
      <c r="C6" t="s">
        <v>13</v>
      </c>
      <c r="D6" t="s">
        <v>14</v>
      </c>
    </row>
    <row r="7" spans="1:7" x14ac:dyDescent="0.3">
      <c r="A7" t="s">
        <v>15</v>
      </c>
      <c r="B7">
        <v>96</v>
      </c>
      <c r="C7" t="s">
        <v>13</v>
      </c>
      <c r="D7" t="s">
        <v>16</v>
      </c>
    </row>
    <row r="9" spans="1:7" x14ac:dyDescent="0.3">
      <c r="A9" t="s">
        <v>17</v>
      </c>
    </row>
    <row r="10" spans="1:7" x14ac:dyDescent="0.3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">
      <c r="A11" t="s">
        <v>25</v>
      </c>
      <c r="B11" t="s">
        <v>26</v>
      </c>
      <c r="C11">
        <v>360</v>
      </c>
      <c r="D11">
        <v>15</v>
      </c>
      <c r="E11">
        <v>12</v>
      </c>
      <c r="F11">
        <v>1.2</v>
      </c>
      <c r="G11">
        <v>800</v>
      </c>
    </row>
    <row r="12" spans="1:7" x14ac:dyDescent="0.3">
      <c r="A12" t="s">
        <v>25</v>
      </c>
      <c r="B12" t="s">
        <v>27</v>
      </c>
      <c r="C12">
        <v>48</v>
      </c>
      <c r="D12">
        <v>2</v>
      </c>
      <c r="E12">
        <v>32</v>
      </c>
      <c r="F12">
        <v>1.2</v>
      </c>
      <c r="G12">
        <v>300</v>
      </c>
    </row>
    <row r="13" spans="1:7" x14ac:dyDescent="0.3">
      <c r="A13" t="s">
        <v>25</v>
      </c>
      <c r="B13" t="s">
        <v>28</v>
      </c>
      <c r="C13">
        <v>480</v>
      </c>
      <c r="D13">
        <v>20</v>
      </c>
      <c r="E13">
        <v>18</v>
      </c>
      <c r="F13">
        <v>1.2</v>
      </c>
      <c r="G13">
        <v>500</v>
      </c>
    </row>
    <row r="14" spans="1:7" x14ac:dyDescent="0.3">
      <c r="A14" t="s">
        <v>29</v>
      </c>
      <c r="B14" t="s">
        <v>26</v>
      </c>
      <c r="C14">
        <v>480</v>
      </c>
      <c r="D14">
        <v>20</v>
      </c>
      <c r="E14">
        <v>14</v>
      </c>
      <c r="F14">
        <v>1.2</v>
      </c>
      <c r="G14">
        <v>800</v>
      </c>
    </row>
    <row r="15" spans="1:7" x14ac:dyDescent="0.3">
      <c r="A15" t="s">
        <v>29</v>
      </c>
      <c r="B15" t="s">
        <v>27</v>
      </c>
      <c r="C15">
        <v>56</v>
      </c>
      <c r="D15">
        <v>2.2999999999999998</v>
      </c>
      <c r="E15">
        <v>35</v>
      </c>
      <c r="F15">
        <v>1.2</v>
      </c>
      <c r="G15">
        <v>300</v>
      </c>
    </row>
    <row r="16" spans="1:7" x14ac:dyDescent="0.3">
      <c r="A16" t="s">
        <v>29</v>
      </c>
      <c r="B16" t="s">
        <v>28</v>
      </c>
      <c r="C16">
        <v>600</v>
      </c>
      <c r="D16">
        <v>25</v>
      </c>
      <c r="E16">
        <v>20</v>
      </c>
      <c r="F16">
        <v>1.2</v>
      </c>
      <c r="G16">
        <v>500</v>
      </c>
    </row>
    <row r="17" spans="1:7" x14ac:dyDescent="0.3">
      <c r="A17" t="s">
        <v>30</v>
      </c>
      <c r="B17" t="s">
        <v>26</v>
      </c>
      <c r="C17">
        <v>720</v>
      </c>
      <c r="D17">
        <v>30</v>
      </c>
      <c r="E17">
        <v>16</v>
      </c>
      <c r="F17">
        <v>1.2</v>
      </c>
      <c r="G17">
        <v>1000</v>
      </c>
    </row>
    <row r="18" spans="1:7" x14ac:dyDescent="0.3">
      <c r="A18" t="s">
        <v>30</v>
      </c>
      <c r="B18" t="s">
        <v>27</v>
      </c>
      <c r="C18">
        <v>60</v>
      </c>
      <c r="D18">
        <v>2.5</v>
      </c>
      <c r="E18">
        <v>38</v>
      </c>
      <c r="F18">
        <v>1.2</v>
      </c>
      <c r="G18">
        <v>400</v>
      </c>
    </row>
    <row r="19" spans="1:7" x14ac:dyDescent="0.3">
      <c r="A19" t="s">
        <v>30</v>
      </c>
      <c r="B19" t="s">
        <v>28</v>
      </c>
      <c r="C19">
        <v>360</v>
      </c>
      <c r="D19">
        <v>15</v>
      </c>
      <c r="E19">
        <v>22</v>
      </c>
      <c r="F19">
        <v>1.2</v>
      </c>
      <c r="G19">
        <v>600</v>
      </c>
    </row>
    <row r="20" spans="1:7" x14ac:dyDescent="0.3">
      <c r="A20" t="s">
        <v>31</v>
      </c>
      <c r="B20" t="s">
        <v>26</v>
      </c>
      <c r="C20">
        <v>120</v>
      </c>
      <c r="D20">
        <v>5</v>
      </c>
      <c r="E20">
        <v>8</v>
      </c>
      <c r="F20">
        <v>1.2</v>
      </c>
      <c r="G20">
        <v>400</v>
      </c>
    </row>
    <row r="21" spans="1:7" x14ac:dyDescent="0.3">
      <c r="A21" t="s">
        <v>31</v>
      </c>
      <c r="B21" t="s">
        <v>27</v>
      </c>
      <c r="C21">
        <v>24</v>
      </c>
      <c r="D21">
        <v>1</v>
      </c>
      <c r="E21">
        <v>18</v>
      </c>
      <c r="F21">
        <v>1.2</v>
      </c>
      <c r="G21">
        <v>200</v>
      </c>
    </row>
    <row r="22" spans="1:7" x14ac:dyDescent="0.3">
      <c r="A22" t="s">
        <v>32</v>
      </c>
      <c r="B22" t="s">
        <v>26</v>
      </c>
      <c r="C22">
        <v>96</v>
      </c>
      <c r="D22">
        <v>4</v>
      </c>
      <c r="E22">
        <v>6</v>
      </c>
      <c r="F22">
        <v>1.2</v>
      </c>
      <c r="G22">
        <v>300</v>
      </c>
    </row>
    <row r="23" spans="1:7" x14ac:dyDescent="0.3">
      <c r="A23" t="s">
        <v>32</v>
      </c>
      <c r="B23" t="s">
        <v>27</v>
      </c>
      <c r="C23">
        <v>12</v>
      </c>
      <c r="D23">
        <v>0.5</v>
      </c>
      <c r="E23">
        <v>15</v>
      </c>
      <c r="F23">
        <v>1.2</v>
      </c>
      <c r="G23">
        <v>150</v>
      </c>
    </row>
    <row r="25" spans="1:7" x14ac:dyDescent="0.3">
      <c r="A25" t="s">
        <v>33</v>
      </c>
    </row>
    <row r="26" spans="1:7" x14ac:dyDescent="0.3">
      <c r="A26" t="s">
        <v>18</v>
      </c>
      <c r="B26" t="s">
        <v>34</v>
      </c>
      <c r="C26" t="s">
        <v>21</v>
      </c>
      <c r="D26" t="s">
        <v>35</v>
      </c>
      <c r="E26" t="s">
        <v>36</v>
      </c>
      <c r="F26" t="s">
        <v>37</v>
      </c>
    </row>
    <row r="27" spans="1:7" x14ac:dyDescent="0.3">
      <c r="A27" t="s">
        <v>25</v>
      </c>
      <c r="B27" t="s">
        <v>38</v>
      </c>
      <c r="C27">
        <v>3</v>
      </c>
      <c r="D27">
        <v>0.5</v>
      </c>
      <c r="E27">
        <v>35</v>
      </c>
      <c r="F27">
        <v>8</v>
      </c>
    </row>
    <row r="28" spans="1:7" x14ac:dyDescent="0.3">
      <c r="A28" t="s">
        <v>25</v>
      </c>
      <c r="B28" t="s">
        <v>39</v>
      </c>
      <c r="C28">
        <v>2</v>
      </c>
      <c r="D28">
        <v>1</v>
      </c>
      <c r="E28">
        <v>42</v>
      </c>
      <c r="F28">
        <v>6</v>
      </c>
    </row>
    <row r="29" spans="1:7" x14ac:dyDescent="0.3">
      <c r="A29" t="s">
        <v>29</v>
      </c>
      <c r="B29" t="s">
        <v>38</v>
      </c>
      <c r="C29">
        <v>3</v>
      </c>
      <c r="D29">
        <v>0.5</v>
      </c>
      <c r="E29">
        <v>38</v>
      </c>
      <c r="F29">
        <v>9</v>
      </c>
    </row>
    <row r="30" spans="1:7" x14ac:dyDescent="0.3">
      <c r="A30" t="s">
        <v>29</v>
      </c>
      <c r="B30" t="s">
        <v>39</v>
      </c>
      <c r="C30">
        <v>2</v>
      </c>
      <c r="D30">
        <v>1</v>
      </c>
      <c r="E30">
        <v>45</v>
      </c>
      <c r="F30">
        <v>7</v>
      </c>
    </row>
    <row r="31" spans="1:7" x14ac:dyDescent="0.3">
      <c r="A31" t="s">
        <v>30</v>
      </c>
      <c r="B31" t="s">
        <v>40</v>
      </c>
      <c r="C31">
        <v>3</v>
      </c>
      <c r="D31">
        <v>0.5</v>
      </c>
      <c r="E31">
        <v>40</v>
      </c>
      <c r="F31">
        <v>10</v>
      </c>
    </row>
    <row r="32" spans="1:7" x14ac:dyDescent="0.3">
      <c r="A32" t="s">
        <v>30</v>
      </c>
      <c r="B32" t="s">
        <v>41</v>
      </c>
      <c r="C32">
        <v>2</v>
      </c>
      <c r="D32">
        <v>1</v>
      </c>
      <c r="E32">
        <v>50</v>
      </c>
      <c r="F32">
        <v>9</v>
      </c>
    </row>
    <row r="33" spans="1:6" x14ac:dyDescent="0.3">
      <c r="A33" t="s">
        <v>31</v>
      </c>
      <c r="B33" t="s">
        <v>42</v>
      </c>
      <c r="C33">
        <v>2</v>
      </c>
      <c r="D33">
        <v>0.5</v>
      </c>
      <c r="E33">
        <v>25</v>
      </c>
      <c r="F33">
        <v>5</v>
      </c>
    </row>
    <row r="34" spans="1:6" x14ac:dyDescent="0.3">
      <c r="A34" t="s">
        <v>31</v>
      </c>
      <c r="B34" t="s">
        <v>43</v>
      </c>
      <c r="C34">
        <v>1</v>
      </c>
      <c r="D34">
        <v>1</v>
      </c>
      <c r="E34">
        <v>35</v>
      </c>
      <c r="F34">
        <v>8</v>
      </c>
    </row>
    <row r="35" spans="1:6" x14ac:dyDescent="0.3">
      <c r="A35" t="s">
        <v>32</v>
      </c>
      <c r="B35" t="s">
        <v>44</v>
      </c>
      <c r="C35">
        <v>2</v>
      </c>
      <c r="D35">
        <v>0.5</v>
      </c>
      <c r="E35">
        <v>20</v>
      </c>
      <c r="F35">
        <v>4</v>
      </c>
    </row>
    <row r="36" spans="1:6" x14ac:dyDescent="0.3">
      <c r="A36" t="s">
        <v>32</v>
      </c>
      <c r="B36" t="s">
        <v>45</v>
      </c>
      <c r="C36">
        <v>2</v>
      </c>
      <c r="D36">
        <v>1</v>
      </c>
      <c r="E36">
        <v>28</v>
      </c>
      <c r="F36">
        <v>6</v>
      </c>
    </row>
    <row r="38" spans="1:6" x14ac:dyDescent="0.3">
      <c r="A38" t="s">
        <v>46</v>
      </c>
    </row>
    <row r="39" spans="1:6" x14ac:dyDescent="0.3">
      <c r="A39" t="s">
        <v>47</v>
      </c>
      <c r="B39" t="s">
        <v>48</v>
      </c>
      <c r="C39" t="s">
        <v>49</v>
      </c>
    </row>
    <row r="40" spans="1:6" x14ac:dyDescent="0.3">
      <c r="A40" t="s">
        <v>50</v>
      </c>
      <c r="B40">
        <v>0.6</v>
      </c>
      <c r="C40" t="s">
        <v>51</v>
      </c>
    </row>
    <row r="41" spans="1:6" x14ac:dyDescent="0.3">
      <c r="A41" t="s">
        <v>52</v>
      </c>
      <c r="B41">
        <v>0.4</v>
      </c>
      <c r="C41" t="s">
        <v>51</v>
      </c>
    </row>
    <row r="43" spans="1:6" x14ac:dyDescent="0.3">
      <c r="A43" t="s">
        <v>53</v>
      </c>
    </row>
    <row r="44" spans="1:6" x14ac:dyDescent="0.3">
      <c r="A44" t="s">
        <v>54</v>
      </c>
      <c r="B44" t="s">
        <v>2</v>
      </c>
      <c r="C44" t="s">
        <v>3</v>
      </c>
    </row>
    <row r="45" spans="1:6" x14ac:dyDescent="0.3">
      <c r="A45" t="s">
        <v>55</v>
      </c>
      <c r="B45">
        <v>10</v>
      </c>
      <c r="C45" t="s">
        <v>10</v>
      </c>
    </row>
    <row r="46" spans="1:6" x14ac:dyDescent="0.3">
      <c r="A46" t="s">
        <v>56</v>
      </c>
      <c r="B46">
        <v>5</v>
      </c>
      <c r="C46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"/>
  <sheetViews>
    <sheetView workbookViewId="0">
      <selection sqref="A1:G55"/>
    </sheetView>
  </sheetViews>
  <sheetFormatPr defaultRowHeight="14" x14ac:dyDescent="0.3"/>
  <sheetData>
    <row r="1" spans="1:6" x14ac:dyDescent="0.3">
      <c r="A1" t="s">
        <v>57</v>
      </c>
    </row>
    <row r="3" spans="1:6" x14ac:dyDescent="0.3">
      <c r="A3" t="s">
        <v>18</v>
      </c>
      <c r="B3" t="s">
        <v>19</v>
      </c>
      <c r="C3" t="s">
        <v>21</v>
      </c>
      <c r="D3" t="s">
        <v>58</v>
      </c>
      <c r="E3" t="s">
        <v>59</v>
      </c>
      <c r="F3" t="s">
        <v>60</v>
      </c>
    </row>
    <row r="4" spans="1:6" x14ac:dyDescent="0.3">
      <c r="A4" t="s">
        <v>25</v>
      </c>
      <c r="B4" t="s">
        <v>26</v>
      </c>
      <c r="C4">
        <f>参数输入!D11</f>
        <v>15</v>
      </c>
      <c r="D4">
        <f>参数输入!E11*参数输入!F11</f>
        <v>14.399999999999999</v>
      </c>
      <c r="E4">
        <f>D4+参数输入!G11/1000</f>
        <v>15.2</v>
      </c>
      <c r="F4" t="str">
        <f t="shared" ref="F4:F16" si="0">IF(C4&lt;=2,"🟢 快速",IF(C4&lt;=5,"🟡 正常","🔴 慢速"))</f>
        <v>🔴 慢速</v>
      </c>
    </row>
    <row r="5" spans="1:6" x14ac:dyDescent="0.3">
      <c r="A5" t="s">
        <v>25</v>
      </c>
      <c r="B5" t="s">
        <v>27</v>
      </c>
      <c r="C5">
        <f>参数输入!D12</f>
        <v>2</v>
      </c>
      <c r="D5">
        <f>参数输入!E12*参数输入!F12</f>
        <v>38.4</v>
      </c>
      <c r="E5">
        <f>D5+参数输入!G12/1000</f>
        <v>38.699999999999996</v>
      </c>
      <c r="F5" t="str">
        <f t="shared" si="0"/>
        <v>🟢 快速</v>
      </c>
    </row>
    <row r="6" spans="1:6" x14ac:dyDescent="0.3">
      <c r="A6" t="s">
        <v>25</v>
      </c>
      <c r="B6" t="s">
        <v>28</v>
      </c>
      <c r="C6">
        <f>参数输入!D13</f>
        <v>20</v>
      </c>
      <c r="D6">
        <f>参数输入!E13*参数输入!F13</f>
        <v>21.599999999999998</v>
      </c>
      <c r="E6">
        <f>D6+参数输入!G13/1000</f>
        <v>22.099999999999998</v>
      </c>
      <c r="F6" t="str">
        <f t="shared" si="0"/>
        <v>🔴 慢速</v>
      </c>
    </row>
    <row r="7" spans="1:6" x14ac:dyDescent="0.3">
      <c r="A7" t="s">
        <v>29</v>
      </c>
      <c r="B7" t="s">
        <v>26</v>
      </c>
      <c r="C7">
        <f>参数输入!D14</f>
        <v>20</v>
      </c>
      <c r="D7">
        <f>参数输入!E14*参数输入!F14</f>
        <v>16.8</v>
      </c>
      <c r="E7">
        <f>D7+参数输入!G14/1000</f>
        <v>17.600000000000001</v>
      </c>
      <c r="F7" t="str">
        <f t="shared" si="0"/>
        <v>🔴 慢速</v>
      </c>
    </row>
    <row r="8" spans="1:6" x14ac:dyDescent="0.3">
      <c r="A8" t="s">
        <v>29</v>
      </c>
      <c r="B8" t="s">
        <v>27</v>
      </c>
      <c r="C8">
        <f>参数输入!D15</f>
        <v>2.2999999999999998</v>
      </c>
      <c r="D8">
        <f>参数输入!E15*参数输入!F15</f>
        <v>42</v>
      </c>
      <c r="E8">
        <f>D8+参数输入!G15/1000</f>
        <v>42.3</v>
      </c>
      <c r="F8" t="str">
        <f t="shared" si="0"/>
        <v>🟡 正常</v>
      </c>
    </row>
    <row r="9" spans="1:6" x14ac:dyDescent="0.3">
      <c r="A9" t="s">
        <v>29</v>
      </c>
      <c r="B9" t="s">
        <v>28</v>
      </c>
      <c r="C9">
        <f>参数输入!D16</f>
        <v>25</v>
      </c>
      <c r="D9">
        <f>参数输入!E16*参数输入!F16</f>
        <v>24</v>
      </c>
      <c r="E9">
        <f>D9+参数输入!G16/1000</f>
        <v>24.5</v>
      </c>
      <c r="F9" t="str">
        <f t="shared" si="0"/>
        <v>🔴 慢速</v>
      </c>
    </row>
    <row r="10" spans="1:6" x14ac:dyDescent="0.3">
      <c r="A10" t="s">
        <v>30</v>
      </c>
      <c r="B10" t="s">
        <v>26</v>
      </c>
      <c r="C10">
        <f>参数输入!D17</f>
        <v>30</v>
      </c>
      <c r="D10">
        <f>参数输入!E17*参数输入!F17</f>
        <v>19.2</v>
      </c>
      <c r="E10">
        <f>D10+参数输入!G17/1000</f>
        <v>20.2</v>
      </c>
      <c r="F10" t="str">
        <f t="shared" si="0"/>
        <v>🔴 慢速</v>
      </c>
    </row>
    <row r="11" spans="1:6" x14ac:dyDescent="0.3">
      <c r="A11" t="s">
        <v>30</v>
      </c>
      <c r="B11" t="s">
        <v>27</v>
      </c>
      <c r="C11">
        <f>参数输入!D18</f>
        <v>2.5</v>
      </c>
      <c r="D11">
        <f>参数输入!E18*参数输入!F18</f>
        <v>45.6</v>
      </c>
      <c r="E11">
        <f>D11+参数输入!G18/1000</f>
        <v>46</v>
      </c>
      <c r="F11" t="str">
        <f t="shared" si="0"/>
        <v>🟡 正常</v>
      </c>
    </row>
    <row r="12" spans="1:6" x14ac:dyDescent="0.3">
      <c r="A12" t="s">
        <v>30</v>
      </c>
      <c r="B12" t="s">
        <v>28</v>
      </c>
      <c r="C12">
        <f>参数输入!D19</f>
        <v>15</v>
      </c>
      <c r="D12">
        <f>参数输入!E19*参数输入!F19</f>
        <v>26.4</v>
      </c>
      <c r="E12">
        <f>D12+参数输入!G19/1000</f>
        <v>27</v>
      </c>
      <c r="F12" t="str">
        <f t="shared" si="0"/>
        <v>🔴 慢速</v>
      </c>
    </row>
    <row r="13" spans="1:6" x14ac:dyDescent="0.3">
      <c r="A13" t="s">
        <v>31</v>
      </c>
      <c r="B13" t="s">
        <v>26</v>
      </c>
      <c r="C13">
        <f>参数输入!D20</f>
        <v>5</v>
      </c>
      <c r="D13">
        <f>参数输入!E20*参数输入!F20</f>
        <v>9.6</v>
      </c>
      <c r="E13">
        <f>D13+参数输入!G20/1000</f>
        <v>10</v>
      </c>
      <c r="F13" t="str">
        <f t="shared" si="0"/>
        <v>🟡 正常</v>
      </c>
    </row>
    <row r="14" spans="1:6" x14ac:dyDescent="0.3">
      <c r="A14" t="s">
        <v>31</v>
      </c>
      <c r="B14" t="s">
        <v>27</v>
      </c>
      <c r="C14">
        <f>参数输入!D21</f>
        <v>1</v>
      </c>
      <c r="D14">
        <f>参数输入!E21*参数输入!F21</f>
        <v>21.599999999999998</v>
      </c>
      <c r="E14">
        <f>D14+参数输入!G21/1000</f>
        <v>21.799999999999997</v>
      </c>
      <c r="F14" t="str">
        <f t="shared" si="0"/>
        <v>🟢 快速</v>
      </c>
    </row>
    <row r="15" spans="1:6" x14ac:dyDescent="0.3">
      <c r="A15" t="s">
        <v>32</v>
      </c>
      <c r="B15" t="s">
        <v>26</v>
      </c>
      <c r="C15">
        <f>参数输入!D22</f>
        <v>4</v>
      </c>
      <c r="D15">
        <f>参数输入!E22*参数输入!F22</f>
        <v>7.1999999999999993</v>
      </c>
      <c r="E15">
        <f>D15+参数输入!G22/1000</f>
        <v>7.4999999999999991</v>
      </c>
      <c r="F15" t="str">
        <f t="shared" si="0"/>
        <v>🟡 正常</v>
      </c>
    </row>
    <row r="16" spans="1:6" x14ac:dyDescent="0.3">
      <c r="A16" t="s">
        <v>32</v>
      </c>
      <c r="B16" t="s">
        <v>27</v>
      </c>
      <c r="C16">
        <f>参数输入!D23</f>
        <v>0.5</v>
      </c>
      <c r="D16">
        <f>参数输入!E23*参数输入!F23</f>
        <v>18</v>
      </c>
      <c r="E16">
        <f>D16+参数输入!G23/1000</f>
        <v>18.149999999999999</v>
      </c>
      <c r="F16" t="str">
        <f t="shared" si="0"/>
        <v>🟢 快速</v>
      </c>
    </row>
    <row r="18" spans="1:7" x14ac:dyDescent="0.3">
      <c r="A18" t="s">
        <v>61</v>
      </c>
    </row>
    <row r="20" spans="1:7" x14ac:dyDescent="0.3">
      <c r="A20" t="s">
        <v>18</v>
      </c>
      <c r="B20" t="s">
        <v>19</v>
      </c>
      <c r="C20" t="s">
        <v>62</v>
      </c>
      <c r="D20" t="s">
        <v>63</v>
      </c>
      <c r="E20" t="s">
        <v>64</v>
      </c>
      <c r="F20" t="s">
        <v>60</v>
      </c>
      <c r="G20" t="s">
        <v>65</v>
      </c>
    </row>
    <row r="21" spans="1:7" x14ac:dyDescent="0.3">
      <c r="A21" t="s">
        <v>25</v>
      </c>
      <c r="B21" t="s">
        <v>26</v>
      </c>
      <c r="C21">
        <f>参数输入!D11</f>
        <v>15</v>
      </c>
      <c r="D21">
        <f>参数输入!D27</f>
        <v>0.5</v>
      </c>
      <c r="E21">
        <f t="shared" ref="E21:E33" si="1">C21+D21</f>
        <v>15.5</v>
      </c>
      <c r="F21" t="str">
        <f t="shared" ref="F21:F33" si="2">IF(E21&lt;=3,"🟢 优秀",IF(E21&lt;=5,"🟡 正常",IF(E21&lt;=10,"🟠 较慢","🔴 超时")))</f>
        <v>🔴 超时</v>
      </c>
      <c r="G21" t="str">
        <f>IF(E21&gt;参数输入!$B$5,"是","否")</f>
        <v>是</v>
      </c>
    </row>
    <row r="22" spans="1:7" x14ac:dyDescent="0.3">
      <c r="A22" t="s">
        <v>25</v>
      </c>
      <c r="B22" t="s">
        <v>27</v>
      </c>
      <c r="C22">
        <f>参数输入!D12</f>
        <v>2</v>
      </c>
      <c r="D22">
        <f>参数输入!D27</f>
        <v>0.5</v>
      </c>
      <c r="E22">
        <f t="shared" si="1"/>
        <v>2.5</v>
      </c>
      <c r="F22" t="str">
        <f t="shared" si="2"/>
        <v>🟢 优秀</v>
      </c>
      <c r="G22" t="str">
        <f>IF(E22&gt;参数输入!$B$5,"是","否")</f>
        <v>否</v>
      </c>
    </row>
    <row r="23" spans="1:7" x14ac:dyDescent="0.3">
      <c r="A23" t="s">
        <v>25</v>
      </c>
      <c r="B23" t="s">
        <v>28</v>
      </c>
      <c r="C23">
        <f>参数输入!D13</f>
        <v>20</v>
      </c>
      <c r="D23">
        <f>参数输入!D27</f>
        <v>0.5</v>
      </c>
      <c r="E23">
        <f t="shared" si="1"/>
        <v>20.5</v>
      </c>
      <c r="F23" t="str">
        <f t="shared" si="2"/>
        <v>🔴 超时</v>
      </c>
      <c r="G23" t="str">
        <f>IF(E23&gt;参数输入!$B$5,"是","否")</f>
        <v>是</v>
      </c>
    </row>
    <row r="24" spans="1:7" x14ac:dyDescent="0.3">
      <c r="A24" t="s">
        <v>29</v>
      </c>
      <c r="B24" t="s">
        <v>26</v>
      </c>
      <c r="C24">
        <f>参数输入!D14</f>
        <v>20</v>
      </c>
      <c r="D24">
        <f>参数输入!D29</f>
        <v>0.5</v>
      </c>
      <c r="E24">
        <f t="shared" si="1"/>
        <v>20.5</v>
      </c>
      <c r="F24" t="str">
        <f t="shared" si="2"/>
        <v>🔴 超时</v>
      </c>
      <c r="G24" t="str">
        <f>IF(E24&gt;参数输入!$B$5,"是","否")</f>
        <v>是</v>
      </c>
    </row>
    <row r="25" spans="1:7" x14ac:dyDescent="0.3">
      <c r="A25" t="s">
        <v>29</v>
      </c>
      <c r="B25" t="s">
        <v>27</v>
      </c>
      <c r="C25">
        <f>参数输入!D15</f>
        <v>2.2999999999999998</v>
      </c>
      <c r="D25">
        <f>参数输入!D29</f>
        <v>0.5</v>
      </c>
      <c r="E25">
        <f t="shared" si="1"/>
        <v>2.8</v>
      </c>
      <c r="F25" t="str">
        <f t="shared" si="2"/>
        <v>🟢 优秀</v>
      </c>
      <c r="G25" t="str">
        <f>IF(E25&gt;参数输入!$B$5,"是","否")</f>
        <v>否</v>
      </c>
    </row>
    <row r="26" spans="1:7" x14ac:dyDescent="0.3">
      <c r="A26" t="s">
        <v>29</v>
      </c>
      <c r="B26" t="s">
        <v>28</v>
      </c>
      <c r="C26">
        <f>参数输入!D16</f>
        <v>25</v>
      </c>
      <c r="D26">
        <f>参数输入!D29</f>
        <v>0.5</v>
      </c>
      <c r="E26">
        <f t="shared" si="1"/>
        <v>25.5</v>
      </c>
      <c r="F26" t="str">
        <f t="shared" si="2"/>
        <v>🔴 超时</v>
      </c>
      <c r="G26" t="str">
        <f>IF(E26&gt;参数输入!$B$5,"是","否")</f>
        <v>是</v>
      </c>
    </row>
    <row r="27" spans="1:7" x14ac:dyDescent="0.3">
      <c r="A27" t="s">
        <v>30</v>
      </c>
      <c r="B27" t="s">
        <v>26</v>
      </c>
      <c r="C27">
        <f>参数输入!D17</f>
        <v>30</v>
      </c>
      <c r="D27">
        <f>参数输入!D31</f>
        <v>0.5</v>
      </c>
      <c r="E27">
        <f t="shared" si="1"/>
        <v>30.5</v>
      </c>
      <c r="F27" t="str">
        <f t="shared" si="2"/>
        <v>🔴 超时</v>
      </c>
      <c r="G27" t="str">
        <f>IF(E27&gt;参数输入!$B$5,"是","否")</f>
        <v>是</v>
      </c>
    </row>
    <row r="28" spans="1:7" x14ac:dyDescent="0.3">
      <c r="A28" t="s">
        <v>30</v>
      </c>
      <c r="B28" t="s">
        <v>27</v>
      </c>
      <c r="C28">
        <f>参数输入!D18</f>
        <v>2.5</v>
      </c>
      <c r="D28">
        <f>参数输入!D31</f>
        <v>0.5</v>
      </c>
      <c r="E28">
        <f t="shared" si="1"/>
        <v>3</v>
      </c>
      <c r="F28" t="str">
        <f t="shared" si="2"/>
        <v>🟢 优秀</v>
      </c>
      <c r="G28" t="str">
        <f>IF(E28&gt;参数输入!$B$5,"是","否")</f>
        <v>否</v>
      </c>
    </row>
    <row r="29" spans="1:7" x14ac:dyDescent="0.3">
      <c r="A29" t="s">
        <v>30</v>
      </c>
      <c r="B29" t="s">
        <v>28</v>
      </c>
      <c r="C29">
        <f>参数输入!D19</f>
        <v>15</v>
      </c>
      <c r="D29">
        <f>参数输入!D31</f>
        <v>0.5</v>
      </c>
      <c r="E29">
        <f t="shared" si="1"/>
        <v>15.5</v>
      </c>
      <c r="F29" t="str">
        <f t="shared" si="2"/>
        <v>🔴 超时</v>
      </c>
      <c r="G29" t="str">
        <f>IF(E29&gt;参数输入!$B$5,"是","否")</f>
        <v>是</v>
      </c>
    </row>
    <row r="30" spans="1:7" x14ac:dyDescent="0.3">
      <c r="A30" t="s">
        <v>31</v>
      </c>
      <c r="B30" t="s">
        <v>26</v>
      </c>
      <c r="C30">
        <f>参数输入!D20</f>
        <v>5</v>
      </c>
      <c r="D30">
        <f>参数输入!D33</f>
        <v>0.5</v>
      </c>
      <c r="E30">
        <f t="shared" si="1"/>
        <v>5.5</v>
      </c>
      <c r="F30" t="str">
        <f t="shared" si="2"/>
        <v>🟠 较慢</v>
      </c>
      <c r="G30" t="str">
        <f>IF(E30&gt;参数输入!$B$5,"是","否")</f>
        <v>否</v>
      </c>
    </row>
    <row r="31" spans="1:7" x14ac:dyDescent="0.3">
      <c r="A31" t="s">
        <v>31</v>
      </c>
      <c r="B31" t="s">
        <v>27</v>
      </c>
      <c r="C31">
        <f>参数输入!D21</f>
        <v>1</v>
      </c>
      <c r="D31">
        <f>参数输入!D33</f>
        <v>0.5</v>
      </c>
      <c r="E31">
        <f t="shared" si="1"/>
        <v>1.5</v>
      </c>
      <c r="F31" t="str">
        <f t="shared" si="2"/>
        <v>🟢 优秀</v>
      </c>
      <c r="G31" t="str">
        <f>IF(E31&gt;参数输入!$B$5,"是","否")</f>
        <v>否</v>
      </c>
    </row>
    <row r="32" spans="1:7" x14ac:dyDescent="0.3">
      <c r="A32" t="s">
        <v>32</v>
      </c>
      <c r="B32" t="s">
        <v>26</v>
      </c>
      <c r="C32">
        <f>参数输入!D22</f>
        <v>4</v>
      </c>
      <c r="D32">
        <f>参数输入!D35</f>
        <v>0.5</v>
      </c>
      <c r="E32">
        <f t="shared" si="1"/>
        <v>4.5</v>
      </c>
      <c r="F32" t="str">
        <f t="shared" si="2"/>
        <v>🟡 正常</v>
      </c>
      <c r="G32" t="str">
        <f>IF(E32&gt;参数输入!$B$5,"是","否")</f>
        <v>否</v>
      </c>
    </row>
    <row r="33" spans="1:7" x14ac:dyDescent="0.3">
      <c r="A33" t="s">
        <v>32</v>
      </c>
      <c r="B33" t="s">
        <v>27</v>
      </c>
      <c r="C33">
        <f>参数输入!D23</f>
        <v>0.5</v>
      </c>
      <c r="D33">
        <f>参数输入!D35</f>
        <v>0.5</v>
      </c>
      <c r="E33">
        <f t="shared" si="1"/>
        <v>1</v>
      </c>
      <c r="F33" t="str">
        <f t="shared" si="2"/>
        <v>🟢 优秀</v>
      </c>
      <c r="G33" t="str">
        <f>IF(E33&gt;参数输入!$B$5,"是","否")</f>
        <v>否</v>
      </c>
    </row>
    <row r="35" spans="1:7" x14ac:dyDescent="0.3">
      <c r="A35" t="s">
        <v>66</v>
      </c>
    </row>
    <row r="37" spans="1:7" x14ac:dyDescent="0.3">
      <c r="A37" t="s">
        <v>67</v>
      </c>
      <c r="B37" t="s">
        <v>68</v>
      </c>
    </row>
    <row r="38" spans="1:7" x14ac:dyDescent="0.3">
      <c r="A38" t="s">
        <v>69</v>
      </c>
      <c r="B38">
        <f>COUNTA(A21:A33)</f>
        <v>13</v>
      </c>
    </row>
    <row r="39" spans="1:7" x14ac:dyDescent="0.3">
      <c r="A39" t="s">
        <v>70</v>
      </c>
      <c r="B39">
        <f>COUNTIF(F21:F33,"🟢 优秀")</f>
        <v>5</v>
      </c>
    </row>
    <row r="40" spans="1:7" x14ac:dyDescent="0.3">
      <c r="A40" t="s">
        <v>71</v>
      </c>
      <c r="B40">
        <f>COUNTIF(F21:F33,"🟡 正常")</f>
        <v>1</v>
      </c>
    </row>
    <row r="41" spans="1:7" x14ac:dyDescent="0.3">
      <c r="A41" t="s">
        <v>72</v>
      </c>
      <c r="B41">
        <f>COUNTIF(F21:F33,"🟠 较慢")+COUNTIF(F21:F33,"🔴 超时")</f>
        <v>7</v>
      </c>
    </row>
    <row r="42" spans="1:7" x14ac:dyDescent="0.3">
      <c r="A42" t="s">
        <v>73</v>
      </c>
      <c r="B42">
        <f>COUNTIF(G21:G33,"是")</f>
        <v>6</v>
      </c>
    </row>
    <row r="43" spans="1:7" x14ac:dyDescent="0.3">
      <c r="A43" t="s">
        <v>74</v>
      </c>
      <c r="B43">
        <f>AVERAGE(E21:E33)</f>
        <v>11.446153846153846</v>
      </c>
    </row>
    <row r="44" spans="1:7" x14ac:dyDescent="0.3">
      <c r="A44" t="s">
        <v>75</v>
      </c>
      <c r="B44" t="str">
        <f>INDEX(A21:A33,MATCH(MIN(E21:E33),E21:E33,0))&amp;"+"&amp;INDEX(B21:B33,MATCH(MIN(E21:E33),E21:E33,0))</f>
        <v>日韩+空运</v>
      </c>
    </row>
    <row r="45" spans="1:7" x14ac:dyDescent="0.3">
      <c r="A45" t="s">
        <v>76</v>
      </c>
      <c r="B45" t="str">
        <f>INDEX(A21:A33,MATCH(MAX(E21:E33),E21:E33,0))&amp;"+"&amp;INDEX(B21:B33,MATCH(MAX(E21:E33),E21:E33,0))</f>
        <v>欧洲+海运</v>
      </c>
    </row>
    <row r="47" spans="1:7" x14ac:dyDescent="0.3">
      <c r="A47" t="s">
        <v>77</v>
      </c>
    </row>
    <row r="49" spans="1:7" x14ac:dyDescent="0.3">
      <c r="A49" t="s">
        <v>18</v>
      </c>
      <c r="B49" t="s">
        <v>19</v>
      </c>
      <c r="C49" t="s">
        <v>64</v>
      </c>
      <c r="D49" t="s">
        <v>59</v>
      </c>
      <c r="E49" t="s">
        <v>78</v>
      </c>
      <c r="F49" t="s">
        <v>79</v>
      </c>
      <c r="G49" t="s">
        <v>80</v>
      </c>
    </row>
    <row r="50" spans="1:7" x14ac:dyDescent="0.3">
      <c r="A50" t="s">
        <v>25</v>
      </c>
      <c r="B50" t="s">
        <v>26</v>
      </c>
      <c r="C50">
        <f t="shared" ref="C50:C55" si="3">E21</f>
        <v>15.5</v>
      </c>
      <c r="D50">
        <f>参数输入!E11*参数输入!F11+参数输入!G11/1000</f>
        <v>15.2</v>
      </c>
      <c r="E50">
        <f t="shared" ref="E50:E55" si="4">MAX(0,10-C50/2)</f>
        <v>2.25</v>
      </c>
      <c r="F50">
        <f t="shared" ref="F50:F55" si="5">MAX(0,10-D50/5)</f>
        <v>6.96</v>
      </c>
      <c r="G50">
        <f>参数输入!$B$40*E50+参数输入!$B$41*F50</f>
        <v>4.1340000000000003</v>
      </c>
    </row>
    <row r="51" spans="1:7" x14ac:dyDescent="0.3">
      <c r="A51" t="s">
        <v>25</v>
      </c>
      <c r="B51" t="s">
        <v>27</v>
      </c>
      <c r="C51">
        <f t="shared" si="3"/>
        <v>2.5</v>
      </c>
      <c r="D51">
        <f>参数输入!E12*参数输入!F12+参数输入!G12/1000</f>
        <v>38.699999999999996</v>
      </c>
      <c r="E51">
        <f t="shared" si="4"/>
        <v>8.75</v>
      </c>
      <c r="F51">
        <f t="shared" si="5"/>
        <v>2.2600000000000007</v>
      </c>
      <c r="G51">
        <f>参数输入!$B$40*E51+参数输入!$B$41*F51</f>
        <v>6.1539999999999999</v>
      </c>
    </row>
    <row r="52" spans="1:7" x14ac:dyDescent="0.3">
      <c r="A52" t="s">
        <v>25</v>
      </c>
      <c r="B52" t="s">
        <v>28</v>
      </c>
      <c r="C52">
        <f t="shared" si="3"/>
        <v>20.5</v>
      </c>
      <c r="D52">
        <f>参数输入!E13*参数输入!F13+参数输入!G13/1000</f>
        <v>22.099999999999998</v>
      </c>
      <c r="E52">
        <f t="shared" si="4"/>
        <v>0</v>
      </c>
      <c r="F52">
        <f t="shared" si="5"/>
        <v>5.58</v>
      </c>
      <c r="G52">
        <f>参数输入!$B$40*E52+参数输入!$B$41*F52</f>
        <v>2.2320000000000002</v>
      </c>
    </row>
    <row r="53" spans="1:7" x14ac:dyDescent="0.3">
      <c r="A53" t="s">
        <v>29</v>
      </c>
      <c r="B53" t="s">
        <v>26</v>
      </c>
      <c r="C53">
        <f t="shared" si="3"/>
        <v>20.5</v>
      </c>
      <c r="D53">
        <f>参数输入!E14*参数输入!F14+参数输入!G14/1000</f>
        <v>17.600000000000001</v>
      </c>
      <c r="E53">
        <f t="shared" si="4"/>
        <v>0</v>
      </c>
      <c r="F53">
        <f t="shared" si="5"/>
        <v>6.4799999999999995</v>
      </c>
      <c r="G53">
        <f>参数输入!$B$40*E53+参数输入!$B$41*F53</f>
        <v>2.5920000000000001</v>
      </c>
    </row>
    <row r="54" spans="1:7" x14ac:dyDescent="0.3">
      <c r="A54" t="s">
        <v>29</v>
      </c>
      <c r="B54" t="s">
        <v>27</v>
      </c>
      <c r="C54">
        <f t="shared" si="3"/>
        <v>2.8</v>
      </c>
      <c r="D54">
        <f>参数输入!E15*参数输入!F15+参数输入!G15/1000</f>
        <v>42.3</v>
      </c>
      <c r="E54">
        <f t="shared" si="4"/>
        <v>8.6</v>
      </c>
      <c r="F54">
        <f t="shared" si="5"/>
        <v>1.5400000000000009</v>
      </c>
      <c r="G54">
        <f>参数输入!$B$40*E54+参数输入!$B$41*F54</f>
        <v>5.7759999999999998</v>
      </c>
    </row>
    <row r="55" spans="1:7" x14ac:dyDescent="0.3">
      <c r="A55" t="s">
        <v>29</v>
      </c>
      <c r="B55" t="s">
        <v>28</v>
      </c>
      <c r="C55">
        <f t="shared" si="3"/>
        <v>25.5</v>
      </c>
      <c r="D55">
        <f>参数输入!E16*参数输入!F16+参数输入!G16/1000</f>
        <v>24.5</v>
      </c>
      <c r="E55">
        <f t="shared" si="4"/>
        <v>0</v>
      </c>
      <c r="F55">
        <f t="shared" si="5"/>
        <v>5.0999999999999996</v>
      </c>
      <c r="G55">
        <f>参数输入!$B$40*E55+参数输入!$B$41*F55</f>
        <v>2.04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sqref="A1:G28"/>
    </sheetView>
  </sheetViews>
  <sheetFormatPr defaultRowHeight="14" x14ac:dyDescent="0.3"/>
  <sheetData>
    <row r="1" spans="1:7" x14ac:dyDescent="0.3">
      <c r="A1" t="s">
        <v>81</v>
      </c>
    </row>
    <row r="3" spans="1:7" x14ac:dyDescent="0.3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60</v>
      </c>
      <c r="G3" t="s">
        <v>87</v>
      </c>
    </row>
    <row r="4" spans="1:7" x14ac:dyDescent="0.3">
      <c r="A4" t="s">
        <v>88</v>
      </c>
      <c r="B4" t="s">
        <v>89</v>
      </c>
      <c r="C4" t="s">
        <v>90</v>
      </c>
      <c r="D4">
        <f>时效计算!E22</f>
        <v>2.5</v>
      </c>
      <c r="E4">
        <f>时效计算!E22/2+5</f>
        <v>6.25</v>
      </c>
      <c r="F4" t="str">
        <f>时效计算!F22</f>
        <v>🟢 优秀</v>
      </c>
      <c r="G4" t="s">
        <v>91</v>
      </c>
    </row>
    <row r="5" spans="1:7" x14ac:dyDescent="0.3">
      <c r="A5" t="s">
        <v>92</v>
      </c>
      <c r="B5" t="s">
        <v>93</v>
      </c>
      <c r="C5" t="s">
        <v>94</v>
      </c>
      <c r="D5">
        <f>时效计算!E23</f>
        <v>20.5</v>
      </c>
      <c r="E5">
        <f>时效计算!E23/2+5</f>
        <v>15.25</v>
      </c>
      <c r="F5" t="str">
        <f>时效计算!F23</f>
        <v>🔴 超时</v>
      </c>
      <c r="G5" t="s">
        <v>95</v>
      </c>
    </row>
    <row r="6" spans="1:7" x14ac:dyDescent="0.3">
      <c r="A6" t="s">
        <v>96</v>
      </c>
      <c r="B6" t="s">
        <v>97</v>
      </c>
      <c r="C6" t="s">
        <v>98</v>
      </c>
      <c r="D6">
        <f>时效计算!E21</f>
        <v>15.5</v>
      </c>
      <c r="E6">
        <f>时效计算!E21/2+5</f>
        <v>12.75</v>
      </c>
      <c r="F6" t="str">
        <f>时效计算!F21</f>
        <v>🔴 超时</v>
      </c>
      <c r="G6" t="s">
        <v>99</v>
      </c>
    </row>
    <row r="7" spans="1:7" x14ac:dyDescent="0.3">
      <c r="A7" t="s">
        <v>100</v>
      </c>
      <c r="B7" t="s">
        <v>101</v>
      </c>
      <c r="C7" t="s">
        <v>102</v>
      </c>
      <c r="D7">
        <f>时效计算!E25</f>
        <v>2.8</v>
      </c>
      <c r="E7">
        <f>时效计算!E25/2+5</f>
        <v>6.4</v>
      </c>
      <c r="F7" t="str">
        <f>时效计算!F25</f>
        <v>🟢 优秀</v>
      </c>
      <c r="G7" t="s">
        <v>103</v>
      </c>
    </row>
    <row r="8" spans="1:7" x14ac:dyDescent="0.3">
      <c r="A8" t="s">
        <v>104</v>
      </c>
      <c r="B8" t="s">
        <v>105</v>
      </c>
      <c r="C8" t="s">
        <v>106</v>
      </c>
      <c r="D8">
        <f>时效计算!E26</f>
        <v>25.5</v>
      </c>
      <c r="E8">
        <f>时效计算!E26/2+5</f>
        <v>17.75</v>
      </c>
      <c r="F8" t="str">
        <f>时效计算!F26</f>
        <v>🔴 超时</v>
      </c>
      <c r="G8" t="s">
        <v>107</v>
      </c>
    </row>
    <row r="9" spans="1:7" x14ac:dyDescent="0.3">
      <c r="A9" t="s">
        <v>108</v>
      </c>
      <c r="B9" t="s">
        <v>109</v>
      </c>
      <c r="C9" t="s">
        <v>110</v>
      </c>
      <c r="D9">
        <f>时效计算!E24</f>
        <v>20.5</v>
      </c>
      <c r="E9">
        <f>时效计算!E24/2+5</f>
        <v>15.25</v>
      </c>
      <c r="F9" t="str">
        <f>时效计算!F24</f>
        <v>🔴 超时</v>
      </c>
      <c r="G9" t="s">
        <v>111</v>
      </c>
    </row>
    <row r="10" spans="1:7" x14ac:dyDescent="0.3">
      <c r="A10" t="s">
        <v>112</v>
      </c>
      <c r="B10" t="s">
        <v>113</v>
      </c>
      <c r="C10" t="s">
        <v>114</v>
      </c>
      <c r="D10">
        <f>时效计算!E28</f>
        <v>3</v>
      </c>
      <c r="E10">
        <f>时效计算!E28/2+5</f>
        <v>6.5</v>
      </c>
      <c r="F10" t="str">
        <f>时效计算!F28</f>
        <v>🟢 优秀</v>
      </c>
      <c r="G10" t="s">
        <v>115</v>
      </c>
    </row>
    <row r="11" spans="1:7" x14ac:dyDescent="0.3">
      <c r="A11" t="s">
        <v>116</v>
      </c>
      <c r="B11" t="s">
        <v>117</v>
      </c>
      <c r="C11" t="s">
        <v>118</v>
      </c>
      <c r="D11">
        <f>时效计算!E29</f>
        <v>15.5</v>
      </c>
      <c r="E11">
        <f>时效计算!E29/2+5</f>
        <v>12.75</v>
      </c>
      <c r="F11" t="str">
        <f>时效计算!F29</f>
        <v>🔴 超时</v>
      </c>
      <c r="G11" t="s">
        <v>119</v>
      </c>
    </row>
    <row r="12" spans="1:7" x14ac:dyDescent="0.3">
      <c r="A12" t="s">
        <v>120</v>
      </c>
      <c r="B12" t="s">
        <v>121</v>
      </c>
      <c r="C12" t="s">
        <v>122</v>
      </c>
      <c r="D12">
        <f>时效计算!E27</f>
        <v>30.5</v>
      </c>
      <c r="E12">
        <f>时效计算!E27/2+5</f>
        <v>20.25</v>
      </c>
      <c r="F12" t="str">
        <f>时效计算!F27</f>
        <v>🔴 超时</v>
      </c>
      <c r="G12" t="s">
        <v>123</v>
      </c>
    </row>
    <row r="13" spans="1:7" x14ac:dyDescent="0.3">
      <c r="A13" t="s">
        <v>124</v>
      </c>
      <c r="B13" t="s">
        <v>125</v>
      </c>
      <c r="C13" t="s">
        <v>126</v>
      </c>
      <c r="D13">
        <f>时效计算!E31</f>
        <v>1.5</v>
      </c>
      <c r="E13">
        <f>时效计算!E31/2+5</f>
        <v>5.75</v>
      </c>
      <c r="F13" t="str">
        <f>时效计算!F31</f>
        <v>🟢 优秀</v>
      </c>
      <c r="G13" t="s">
        <v>127</v>
      </c>
    </row>
    <row r="14" spans="1:7" x14ac:dyDescent="0.3">
      <c r="A14" t="s">
        <v>128</v>
      </c>
      <c r="B14" t="s">
        <v>129</v>
      </c>
      <c r="C14" t="s">
        <v>130</v>
      </c>
      <c r="D14">
        <f>时效计算!E30</f>
        <v>5.5</v>
      </c>
      <c r="E14">
        <f>时效计算!E30/2+5</f>
        <v>7.75</v>
      </c>
      <c r="F14" t="str">
        <f>时效计算!F30</f>
        <v>🟠 较慢</v>
      </c>
      <c r="G14" t="s">
        <v>131</v>
      </c>
    </row>
    <row r="15" spans="1:7" x14ac:dyDescent="0.3">
      <c r="A15" t="s">
        <v>132</v>
      </c>
      <c r="B15" t="s">
        <v>133</v>
      </c>
      <c r="C15" t="s">
        <v>134</v>
      </c>
      <c r="D15">
        <f>时效计算!E33</f>
        <v>1</v>
      </c>
      <c r="E15">
        <f>时效计算!E33/2+5</f>
        <v>5.5</v>
      </c>
      <c r="F15" t="str">
        <f>时效计算!F33</f>
        <v>🟢 优秀</v>
      </c>
      <c r="G15" t="s">
        <v>135</v>
      </c>
    </row>
    <row r="16" spans="1:7" x14ac:dyDescent="0.3">
      <c r="A16" t="s">
        <v>136</v>
      </c>
      <c r="B16" t="s">
        <v>137</v>
      </c>
      <c r="C16" t="s">
        <v>138</v>
      </c>
      <c r="D16">
        <f>时效计算!E32</f>
        <v>4.5</v>
      </c>
      <c r="E16">
        <f>时效计算!E32/2+5</f>
        <v>7.25</v>
      </c>
      <c r="F16" t="str">
        <f>时效计算!F32</f>
        <v>🟡 正常</v>
      </c>
      <c r="G16" t="s">
        <v>139</v>
      </c>
    </row>
    <row r="18" spans="1:5" x14ac:dyDescent="0.3">
      <c r="A18" t="s">
        <v>140</v>
      </c>
    </row>
    <row r="20" spans="1:5" x14ac:dyDescent="0.3">
      <c r="A20" t="s">
        <v>141</v>
      </c>
      <c r="B20" t="s">
        <v>142</v>
      </c>
      <c r="C20" t="s">
        <v>143</v>
      </c>
      <c r="D20" t="s">
        <v>144</v>
      </c>
      <c r="E20" t="s">
        <v>145</v>
      </c>
    </row>
    <row r="21" spans="1:5" x14ac:dyDescent="0.3">
      <c r="A21" t="s">
        <v>88</v>
      </c>
      <c r="B21">
        <f>时效计算!E22</f>
        <v>2.5</v>
      </c>
      <c r="C21">
        <f>时效计算!E22/2+5</f>
        <v>6.25</v>
      </c>
      <c r="D21">
        <f>B21/C21</f>
        <v>0.4</v>
      </c>
      <c r="E21" t="str">
        <f>IF(B21&lt;5,"⭐⭐⭐⭐⭐","⭐⭐⭐")</f>
        <v>⭐⭐⭐⭐⭐</v>
      </c>
    </row>
    <row r="22" spans="1:5" x14ac:dyDescent="0.3">
      <c r="A22" t="s">
        <v>92</v>
      </c>
      <c r="B22">
        <f>时效计算!E23</f>
        <v>20.5</v>
      </c>
      <c r="C22">
        <f>时效计算!E23/2+5</f>
        <v>15.25</v>
      </c>
      <c r="D22">
        <f>B22/C22</f>
        <v>1.3442622950819672</v>
      </c>
      <c r="E22" t="str">
        <f>IF(AND(B22&lt;10,C22&lt;30),"⭐⭐⭐⭐⭐","⭐⭐⭐")</f>
        <v>⭐⭐⭐</v>
      </c>
    </row>
    <row r="23" spans="1:5" x14ac:dyDescent="0.3">
      <c r="A23" t="s">
        <v>96</v>
      </c>
      <c r="B23">
        <f>时效计算!E21</f>
        <v>15.5</v>
      </c>
      <c r="C23">
        <f>时效计算!E21/2+5</f>
        <v>12.75</v>
      </c>
      <c r="D23">
        <f>B23/C23</f>
        <v>1.2156862745098038</v>
      </c>
      <c r="E23" t="str">
        <f>IF(C23&lt;15,"⭐⭐⭐⭐⭐","⭐⭐")</f>
        <v>⭐⭐⭐⭐⭐</v>
      </c>
    </row>
    <row r="25" spans="1:5" x14ac:dyDescent="0.3">
      <c r="A25" t="s">
        <v>146</v>
      </c>
    </row>
    <row r="27" spans="1:5" x14ac:dyDescent="0.3">
      <c r="A27" t="s">
        <v>147</v>
      </c>
      <c r="B27" t="s">
        <v>18</v>
      </c>
      <c r="C27" t="s">
        <v>19</v>
      </c>
      <c r="D27" t="s">
        <v>64</v>
      </c>
      <c r="E27" t="s">
        <v>80</v>
      </c>
    </row>
    <row r="28" spans="1:5" x14ac:dyDescent="0.3">
      <c r="A28">
        <v>1</v>
      </c>
      <c r="B28" t="str">
        <f>INDEX(时效计算!A21:A33,MATCH(MIN(时效计算!E21:E33),时效计算!E21:E33,0))</f>
        <v>日韩</v>
      </c>
      <c r="C28" t="str">
        <f>INDEX(时效计算!B21:B33,MATCH(MIN(时效计算!E21:E33),时效计算!E21:E33,0))</f>
        <v>空运</v>
      </c>
      <c r="D28">
        <f>MIN(时效计算!E21:E33)</f>
        <v>1</v>
      </c>
      <c r="E28">
        <f>MAX(时效计算!G50:G55)</f>
        <v>6.1539999999999999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>
      <selection activeCell="H24" sqref="H24"/>
    </sheetView>
  </sheetViews>
  <sheetFormatPr defaultRowHeight="14" x14ac:dyDescent="0.3"/>
  <sheetData>
    <row r="1" spans="1:5" x14ac:dyDescent="0.3">
      <c r="A1" t="s">
        <v>148</v>
      </c>
    </row>
    <row r="3" spans="1:5" x14ac:dyDescent="0.3">
      <c r="A3" t="s">
        <v>149</v>
      </c>
      <c r="B3" t="s">
        <v>150</v>
      </c>
      <c r="C3" t="s">
        <v>151</v>
      </c>
      <c r="D3" t="s">
        <v>152</v>
      </c>
      <c r="E3" t="s">
        <v>153</v>
      </c>
    </row>
    <row r="4" spans="1:5" x14ac:dyDescent="0.3">
      <c r="A4" t="s">
        <v>154</v>
      </c>
      <c r="B4" s="1">
        <v>0.2</v>
      </c>
      <c r="C4">
        <f>参数输入!D3*0.2</f>
        <v>0</v>
      </c>
      <c r="D4">
        <v>0</v>
      </c>
      <c r="E4" t="s">
        <v>155</v>
      </c>
    </row>
    <row r="5" spans="1:5" x14ac:dyDescent="0.3">
      <c r="A5" t="s">
        <v>154</v>
      </c>
      <c r="B5" s="1">
        <v>0.5</v>
      </c>
      <c r="C5">
        <f>参数输入!D3*0.5</f>
        <v>0</v>
      </c>
      <c r="D5">
        <v>0</v>
      </c>
      <c r="E5" t="s">
        <v>156</v>
      </c>
    </row>
    <row r="6" spans="1:5" x14ac:dyDescent="0.3">
      <c r="A6" t="s">
        <v>157</v>
      </c>
      <c r="B6" t="s">
        <v>158</v>
      </c>
      <c r="C6">
        <v>5</v>
      </c>
      <c r="D6">
        <f>参数输入!B4*参数输入!B5/365*5</f>
        <v>4.7945205479452051</v>
      </c>
      <c r="E6" t="s">
        <v>159</v>
      </c>
    </row>
    <row r="7" spans="1:5" x14ac:dyDescent="0.3">
      <c r="A7" t="s">
        <v>160</v>
      </c>
      <c r="B7" t="s">
        <v>161</v>
      </c>
      <c r="C7">
        <v>2</v>
      </c>
      <c r="D7">
        <v>0</v>
      </c>
      <c r="E7" t="s">
        <v>162</v>
      </c>
    </row>
    <row r="9" spans="1:5" x14ac:dyDescent="0.3">
      <c r="A9" t="s">
        <v>163</v>
      </c>
    </row>
    <row r="11" spans="1:5" x14ac:dyDescent="0.3">
      <c r="A11" t="s">
        <v>5</v>
      </c>
      <c r="B11" t="s">
        <v>164</v>
      </c>
      <c r="C11" t="s">
        <v>165</v>
      </c>
    </row>
    <row r="12" spans="1:5" x14ac:dyDescent="0.3">
      <c r="A12" t="s">
        <v>166</v>
      </c>
      <c r="B12" t="s">
        <v>27</v>
      </c>
      <c r="C12" t="s">
        <v>167</v>
      </c>
    </row>
    <row r="13" spans="1:5" x14ac:dyDescent="0.3">
      <c r="A13" t="s">
        <v>168</v>
      </c>
      <c r="B13" t="s">
        <v>28</v>
      </c>
      <c r="C13" t="s">
        <v>169</v>
      </c>
    </row>
    <row r="14" spans="1:5" x14ac:dyDescent="0.3">
      <c r="A14" t="s">
        <v>170</v>
      </c>
      <c r="B14" t="s">
        <v>26</v>
      </c>
      <c r="C14" t="s">
        <v>171</v>
      </c>
    </row>
    <row r="16" spans="1:5" x14ac:dyDescent="0.3">
      <c r="A16" t="s">
        <v>172</v>
      </c>
    </row>
    <row r="18" spans="1:3" x14ac:dyDescent="0.3">
      <c r="A18" t="s">
        <v>173</v>
      </c>
      <c r="B18" t="s">
        <v>164</v>
      </c>
      <c r="C18" t="s">
        <v>174</v>
      </c>
    </row>
    <row r="19" spans="1:3" x14ac:dyDescent="0.3">
      <c r="A19" t="s">
        <v>175</v>
      </c>
      <c r="B19" t="s">
        <v>26</v>
      </c>
      <c r="C19" t="s">
        <v>176</v>
      </c>
    </row>
    <row r="20" spans="1:3" x14ac:dyDescent="0.3">
      <c r="A20" t="s">
        <v>177</v>
      </c>
      <c r="B20" t="s">
        <v>28</v>
      </c>
      <c r="C20" t="s">
        <v>92</v>
      </c>
    </row>
    <row r="21" spans="1:3" x14ac:dyDescent="0.3">
      <c r="A21" t="s">
        <v>178</v>
      </c>
      <c r="B21" t="s">
        <v>27</v>
      </c>
      <c r="C21" t="s">
        <v>179</v>
      </c>
    </row>
    <row r="23" spans="1:3" x14ac:dyDescent="0.3">
      <c r="A23" t="s">
        <v>180</v>
      </c>
    </row>
    <row r="25" spans="1:3" x14ac:dyDescent="0.3">
      <c r="A25" t="s">
        <v>181</v>
      </c>
      <c r="B25" t="s">
        <v>182</v>
      </c>
      <c r="C25" t="s">
        <v>183</v>
      </c>
    </row>
    <row r="26" spans="1:3" x14ac:dyDescent="0.3">
      <c r="A26" t="s">
        <v>184</v>
      </c>
      <c r="B26" t="s">
        <v>185</v>
      </c>
      <c r="C26" t="s">
        <v>186</v>
      </c>
    </row>
    <row r="27" spans="1:3" x14ac:dyDescent="0.3">
      <c r="A27" t="s">
        <v>187</v>
      </c>
      <c r="B27" t="s">
        <v>188</v>
      </c>
      <c r="C27" t="s">
        <v>189</v>
      </c>
    </row>
    <row r="28" spans="1:3" x14ac:dyDescent="0.3">
      <c r="A28" t="s">
        <v>190</v>
      </c>
      <c r="B28" t="s">
        <v>188</v>
      </c>
      <c r="C28" t="s">
        <v>191</v>
      </c>
    </row>
    <row r="29" spans="1:3" x14ac:dyDescent="0.3">
      <c r="A29" t="s">
        <v>192</v>
      </c>
      <c r="B29" t="s">
        <v>185</v>
      </c>
      <c r="C29" t="s">
        <v>193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1"/>
  <sheetViews>
    <sheetView workbookViewId="0">
      <selection activeCell="M32" sqref="M32"/>
    </sheetView>
  </sheetViews>
  <sheetFormatPr defaultRowHeight="14" x14ac:dyDescent="0.3"/>
  <sheetData>
    <row r="1" spans="1:1" x14ac:dyDescent="0.3">
      <c r="A1" t="s">
        <v>194</v>
      </c>
    </row>
    <row r="3" spans="1:1" x14ac:dyDescent="0.3">
      <c r="A3" t="s">
        <v>195</v>
      </c>
    </row>
    <row r="5" spans="1:1" x14ac:dyDescent="0.3">
      <c r="A5" t="s">
        <v>196</v>
      </c>
    </row>
    <row r="6" spans="1:1" x14ac:dyDescent="0.3">
      <c r="A6" t="s">
        <v>197</v>
      </c>
    </row>
    <row r="7" spans="1:1" x14ac:dyDescent="0.3">
      <c r="A7" t="s">
        <v>198</v>
      </c>
    </row>
    <row r="9" spans="1:1" x14ac:dyDescent="0.3">
      <c r="A9" t="s">
        <v>199</v>
      </c>
    </row>
    <row r="11" spans="1:1" x14ac:dyDescent="0.3">
      <c r="A11" t="s">
        <v>200</v>
      </c>
    </row>
    <row r="12" spans="1:1" x14ac:dyDescent="0.3">
      <c r="A12" t="s">
        <v>201</v>
      </c>
    </row>
    <row r="13" spans="1:1" x14ac:dyDescent="0.3">
      <c r="A13" t="s">
        <v>202</v>
      </c>
    </row>
    <row r="15" spans="1:1" x14ac:dyDescent="0.3">
      <c r="A15" t="s">
        <v>203</v>
      </c>
    </row>
    <row r="17" spans="1:1" x14ac:dyDescent="0.3">
      <c r="A17" t="s">
        <v>204</v>
      </c>
    </row>
    <row r="18" spans="1:1" x14ac:dyDescent="0.3">
      <c r="A18" t="s">
        <v>205</v>
      </c>
    </row>
    <row r="19" spans="1:1" x14ac:dyDescent="0.3">
      <c r="A19" t="s">
        <v>206</v>
      </c>
    </row>
    <row r="20" spans="1:1" x14ac:dyDescent="0.3">
      <c r="A20" t="s">
        <v>207</v>
      </c>
    </row>
    <row r="21" spans="1:1" x14ac:dyDescent="0.3">
      <c r="A21" t="s">
        <v>208</v>
      </c>
    </row>
    <row r="23" spans="1:1" x14ac:dyDescent="0.3">
      <c r="A23" t="s">
        <v>209</v>
      </c>
    </row>
    <row r="24" spans="1:1" x14ac:dyDescent="0.3">
      <c r="A24" t="s">
        <v>210</v>
      </c>
    </row>
    <row r="25" spans="1:1" x14ac:dyDescent="0.3">
      <c r="A25" t="s">
        <v>211</v>
      </c>
    </row>
    <row r="26" spans="1:1" x14ac:dyDescent="0.3">
      <c r="A26" t="s">
        <v>212</v>
      </c>
    </row>
    <row r="27" spans="1:1" x14ac:dyDescent="0.3">
      <c r="A27" t="s">
        <v>213</v>
      </c>
    </row>
    <row r="29" spans="1:1" x14ac:dyDescent="0.3">
      <c r="A29" t="s">
        <v>214</v>
      </c>
    </row>
    <row r="30" spans="1:1" x14ac:dyDescent="0.3">
      <c r="A30" t="s">
        <v>215</v>
      </c>
    </row>
    <row r="31" spans="1:1" x14ac:dyDescent="0.3">
      <c r="A31" t="s">
        <v>216</v>
      </c>
    </row>
    <row r="32" spans="1:1" x14ac:dyDescent="0.3">
      <c r="A32" t="s">
        <v>217</v>
      </c>
    </row>
    <row r="33" spans="1:1" x14ac:dyDescent="0.3">
      <c r="A33" t="s">
        <v>218</v>
      </c>
    </row>
    <row r="35" spans="1:1" x14ac:dyDescent="0.3">
      <c r="A35" t="s">
        <v>219</v>
      </c>
    </row>
    <row r="37" spans="1:1" x14ac:dyDescent="0.3">
      <c r="A37" t="s">
        <v>220</v>
      </c>
    </row>
    <row r="38" spans="1:1" x14ac:dyDescent="0.3">
      <c r="A38" t="s">
        <v>221</v>
      </c>
    </row>
    <row r="39" spans="1:1" x14ac:dyDescent="0.3">
      <c r="A39" t="s">
        <v>222</v>
      </c>
    </row>
    <row r="40" spans="1:1" x14ac:dyDescent="0.3">
      <c r="A40" t="s">
        <v>223</v>
      </c>
    </row>
    <row r="41" spans="1:1" x14ac:dyDescent="0.3">
      <c r="A41" t="s">
        <v>224</v>
      </c>
    </row>
    <row r="43" spans="1:1" x14ac:dyDescent="0.3">
      <c r="A43" t="s">
        <v>225</v>
      </c>
    </row>
    <row r="45" spans="1:1" x14ac:dyDescent="0.3">
      <c r="A45" t="s">
        <v>226</v>
      </c>
    </row>
    <row r="46" spans="1:1" x14ac:dyDescent="0.3">
      <c r="A46" t="s">
        <v>227</v>
      </c>
    </row>
    <row r="47" spans="1:1" x14ac:dyDescent="0.3">
      <c r="A47" t="s">
        <v>228</v>
      </c>
    </row>
    <row r="49" spans="1:1" x14ac:dyDescent="0.3">
      <c r="A49" t="s">
        <v>229</v>
      </c>
    </row>
    <row r="50" spans="1:1" x14ac:dyDescent="0.3">
      <c r="A50" t="s">
        <v>230</v>
      </c>
    </row>
    <row r="51" spans="1:1" x14ac:dyDescent="0.3">
      <c r="A51" t="s">
        <v>231</v>
      </c>
    </row>
    <row r="53" spans="1:1" x14ac:dyDescent="0.3">
      <c r="A53" t="s">
        <v>232</v>
      </c>
    </row>
    <row r="54" spans="1:1" x14ac:dyDescent="0.3">
      <c r="A54" t="s">
        <v>233</v>
      </c>
    </row>
    <row r="55" spans="1:1" x14ac:dyDescent="0.3">
      <c r="A55" t="s">
        <v>234</v>
      </c>
    </row>
    <row r="57" spans="1:1" x14ac:dyDescent="0.3">
      <c r="A57" t="s">
        <v>235</v>
      </c>
    </row>
    <row r="58" spans="1:1" x14ac:dyDescent="0.3">
      <c r="A58" t="s">
        <v>236</v>
      </c>
    </row>
    <row r="59" spans="1:1" x14ac:dyDescent="0.3">
      <c r="A59" t="s">
        <v>237</v>
      </c>
    </row>
    <row r="61" spans="1:1" x14ac:dyDescent="0.3">
      <c r="A61" t="s">
        <v>238</v>
      </c>
    </row>
    <row r="63" spans="1:1" x14ac:dyDescent="0.3">
      <c r="A63" t="s">
        <v>239</v>
      </c>
    </row>
    <row r="64" spans="1:1" x14ac:dyDescent="0.3">
      <c r="A64" t="s">
        <v>240</v>
      </c>
    </row>
    <row r="65" spans="1:1" x14ac:dyDescent="0.3">
      <c r="A65" t="s">
        <v>241</v>
      </c>
    </row>
    <row r="66" spans="1:1" x14ac:dyDescent="0.3">
      <c r="A66" t="s">
        <v>240</v>
      </c>
    </row>
    <row r="67" spans="1:1" x14ac:dyDescent="0.3">
      <c r="A67" t="s">
        <v>242</v>
      </c>
    </row>
    <row r="68" spans="1:1" x14ac:dyDescent="0.3">
      <c r="A68" t="s">
        <v>243</v>
      </c>
    </row>
    <row r="69" spans="1:1" x14ac:dyDescent="0.3">
      <c r="A69" t="s">
        <v>244</v>
      </c>
    </row>
    <row r="70" spans="1:1" x14ac:dyDescent="0.3">
      <c r="A70" t="s">
        <v>240</v>
      </c>
    </row>
    <row r="71" spans="1:1" x14ac:dyDescent="0.3">
      <c r="A71" t="s">
        <v>245</v>
      </c>
    </row>
    <row r="72" spans="1:1" x14ac:dyDescent="0.3">
      <c r="A72" t="s">
        <v>240</v>
      </c>
    </row>
    <row r="73" spans="1:1" x14ac:dyDescent="0.3">
      <c r="A73" t="s">
        <v>246</v>
      </c>
    </row>
    <row r="74" spans="1:1" x14ac:dyDescent="0.3">
      <c r="A74" t="s">
        <v>247</v>
      </c>
    </row>
    <row r="75" spans="1:1" x14ac:dyDescent="0.3">
      <c r="A75" t="s">
        <v>248</v>
      </c>
    </row>
    <row r="76" spans="1:1" x14ac:dyDescent="0.3">
      <c r="A76" t="s">
        <v>240</v>
      </c>
    </row>
    <row r="77" spans="1:1" x14ac:dyDescent="0.3">
      <c r="A77" t="s">
        <v>249</v>
      </c>
    </row>
    <row r="79" spans="1:1" x14ac:dyDescent="0.3">
      <c r="A79" t="s">
        <v>250</v>
      </c>
    </row>
    <row r="81" spans="1:1" x14ac:dyDescent="0.3">
      <c r="A81" t="s">
        <v>251</v>
      </c>
    </row>
    <row r="82" spans="1:1" x14ac:dyDescent="0.3">
      <c r="A82" t="s">
        <v>252</v>
      </c>
    </row>
    <row r="83" spans="1:1" x14ac:dyDescent="0.3">
      <c r="A83" t="s">
        <v>253</v>
      </c>
    </row>
    <row r="84" spans="1:1" x14ac:dyDescent="0.3">
      <c r="A84" t="s">
        <v>254</v>
      </c>
    </row>
    <row r="85" spans="1:1" x14ac:dyDescent="0.3">
      <c r="A85" t="s">
        <v>255</v>
      </c>
    </row>
    <row r="87" spans="1:1" x14ac:dyDescent="0.3">
      <c r="A87" t="s">
        <v>256</v>
      </c>
    </row>
    <row r="89" spans="1:1" x14ac:dyDescent="0.3">
      <c r="A89" t="s">
        <v>257</v>
      </c>
    </row>
    <row r="90" spans="1:1" x14ac:dyDescent="0.3">
      <c r="A90" t="s">
        <v>258</v>
      </c>
    </row>
    <row r="91" spans="1:1" x14ac:dyDescent="0.3">
      <c r="A91" t="s">
        <v>259</v>
      </c>
    </row>
    <row r="92" spans="1:1" x14ac:dyDescent="0.3">
      <c r="A92" t="s">
        <v>260</v>
      </c>
    </row>
    <row r="93" spans="1:1" x14ac:dyDescent="0.3">
      <c r="A93" t="s">
        <v>261</v>
      </c>
    </row>
    <row r="94" spans="1:1" x14ac:dyDescent="0.3">
      <c r="A94" t="s">
        <v>262</v>
      </c>
    </row>
    <row r="96" spans="1:1" x14ac:dyDescent="0.3">
      <c r="A96" t="s">
        <v>263</v>
      </c>
    </row>
    <row r="98" spans="1:1" x14ac:dyDescent="0.3">
      <c r="A98" t="s">
        <v>264</v>
      </c>
    </row>
    <row r="99" spans="1:1" x14ac:dyDescent="0.3">
      <c r="A99" t="s">
        <v>265</v>
      </c>
    </row>
    <row r="100" spans="1:1" x14ac:dyDescent="0.3">
      <c r="A100" t="s">
        <v>266</v>
      </c>
    </row>
    <row r="101" spans="1:1" x14ac:dyDescent="0.3">
      <c r="A101" t="s">
        <v>267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参数输入</vt:lpstr>
      <vt:lpstr>时效计算</vt:lpstr>
      <vt:lpstr>策略对比</vt:lpstr>
      <vt:lpstr>敏感度分析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T195238</dc:creator>
  <cp:lastModifiedBy>T195238</cp:lastModifiedBy>
  <dcterms:created xsi:type="dcterms:W3CDTF">2026-05-27T08:50:31Z</dcterms:created>
  <dcterms:modified xsi:type="dcterms:W3CDTF">2026-05-27T09:18:29Z</dcterms:modified>
</cp:coreProperties>
</file>